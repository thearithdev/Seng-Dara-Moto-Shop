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heet" sheetId="2" state="visible" r:id="rId4"/>
    <sheet name="Vehicle Register" sheetId="3" state="visible" r:id="rId5"/>
    <sheet name="New Stock" sheetId="4" state="visible" r:id="rId6"/>
    <sheet name="Used Stock" sheetId="5" state="visible" r:id="rId7"/>
    <sheet name="Monthly Expenses" sheetId="6" state="visible" r:id="rId8"/>
    <sheet name="Profit Summary" sheetId="7" state="visible" r:id="rId9"/>
    <sheet name="Dashboard" sheetId="8" state="visible" r:id="rId10"/>
  </sheets>
  <definedNames>
    <definedName function="false" hidden="true" localSheetId="2" name="_xlnm._FilterDatabase" vbProcedure="false">'Vehicle Register'!$A$4:$W$34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<sst xmlns="http://schemas.openxmlformats.org/spreadsheetml/2006/main" count="448" uniqueCount="250">
  <si>
    <t xml:space="preserve">ហាងលក់ម៉ូតូ សេងតារា — Cost &amp; Profit Tracker</t>
  </si>
  <si>
    <t xml:space="preserve">How to use this workbook / របៀបប្រើប្រាស់សៀវភៅនេះ</t>
  </si>
  <si>
    <t xml:space="preserve">Sheets in this workbook: / សន្លឹកនៅក្នុងសៀវភៅនេះ៖</t>
  </si>
  <si>
    <t xml:space="preserve">  Dashboard</t>
  </si>
  <si>
    <t xml:space="preserve">Live snapshot: stock levels, cash tied up, total profit, and documents needing attention. / ទិដ្ឋភាពសង្ខេប៖ ស្តុក ដើមទុន ប្រាក់ចំណេញ និងឯកសារត្រូវការការយកចិត្តទុកដាក់។</t>
  </si>
  <si>
    <t xml:space="preserve">  Vehicle Register</t>
  </si>
  <si>
    <t xml:space="preserve">The core sheet — one row per physical motorcycle, from the day you buy it to the day you sell it. / សន្លឹកសំខាន់ — មួយជួរសម្រាប់ម៉ូតូមួយគ្រឿង តាំងពីទិញរហូតដល់លក់។</t>
  </si>
  <si>
    <t xml:space="preserve">  New Stock / Used Stock</t>
  </si>
  <si>
    <t xml:space="preserve">Automatic filtered views of Vehicle Register — read-only, split by condition. Edit in Vehicle Register; these update themselves. / ទិដ្ឋភាពដោយស្វ័យប្រវត្តិ បំបែកតាមលក្ខខណ្ឌ សូមកែសម្រួលនៅ Vehicle Register។</t>
  </si>
  <si>
    <t xml:space="preserve">  Monthly Expenses</t>
  </si>
  <si>
    <t xml:space="preserve">Enter fixed running costs (rent, staff, utilities, marketing) per month. / បញ្ចូលចំណាយថេរប្រចាំខែ (ថ្លៃឈ្នួល ប្រាក់ខែ ទឹកភ្លើង ទីផ្សារ)។</t>
  </si>
  <si>
    <t xml:space="preserve">  Profit Summary</t>
  </si>
  <si>
    <t xml:space="preserve">Automatic monthly report: revenue, cost of goods sold, gross profit, expenses, and net profit. / របាយការណ៍ប្រចាំខែស្វ័យប្រវត្តិ៖ ចំណូល ថ្លៃដើម ប្រាក់ចំណេញដុល ចំណាយ និងប្រាក់ចំណេញសុទ្ធ។</t>
  </si>
  <si>
    <t xml:space="preserve">Color legend: / និមិត្តសញ្ញាពណ៌៖</t>
  </si>
  <si>
    <t xml:space="preserve">Blue text / អក្សរខៀវ</t>
  </si>
  <si>
    <t xml:space="preserve">A cell you type into (cost, price, dates, engine/plate numbers, documents status). / ក្រឡាដែលអ្នកវាយបញ្ចូល។</t>
  </si>
  <si>
    <t xml:space="preserve">Black text / អក្សរខ្មៅ</t>
  </si>
  <si>
    <t xml:space="preserve">A formula — calculated automatically. Don't overwrite these. / រូបមន្តគណនាស្វ័យប្រវត្តិ សូមកុំកែ។</t>
  </si>
  <si>
    <t xml:space="preserve">Green text / អក្សរបៃតង</t>
  </si>
  <si>
    <t xml:space="preserve">A value pulled automatically from another sheet. / តម្លៃទាញយកពីសន្លឹកផ្សេងដោយស្វ័យប្រវត្តិ។</t>
  </si>
  <si>
    <t xml:space="preserve">Green fill / ពណ៌បៃតង</t>
  </si>
  <si>
    <t xml:space="preserve">In Stock, or Documents Complete. / នៅស្តុក ឬឯកសារពេញលេញ។</t>
  </si>
  <si>
    <t xml:space="preserve">Yellow fill / ពណ៌លឿង</t>
  </si>
  <si>
    <t xml:space="preserve">Documents Pending Transfer — needs follow-up. / កំពុងផ្ទេរឯកសារ — ត្រូវតាមដាន។</t>
  </si>
  <si>
    <t xml:space="preserve">Red fill / ពណ៌ក្រហម</t>
  </si>
  <si>
    <t xml:space="preserve">Documents Missing — needs urgent follow-up before resale. / ខ្វះឯកសារ — ត្រូវតាមដានបន្ទាន់មុនលក់។</t>
  </si>
  <si>
    <t xml:space="preserve">How the Vehicle Register works: / របៀបប្រើ Vehicle Register៖</t>
  </si>
  <si>
    <t xml:space="preserve">1. When a motorcycle arrives (new from supplier, or used trade-in), add a new row: brand, model, engine number, chassis/frame number, plate number (if any), date bought in, purchase cost, and documents status. / នៅពេលម៉ូតូថ្មីមកដល់ សូមបន្ថែមជួរថ្មី៖ ម៉ាក ម៉ូដែល លេខម៉ាស៊ីន លេខគ្រោង លេខស្លាកលេខ ថ្ងៃទិញចូល ថ្លៃទិញ និងស្ថានភាពឯកសារ។</t>
  </si>
  <si>
    <t xml:space="preserve">2. If it needs repair before resale, enter that cost in 'Repair Cost' — Total Cost updates automatically. / បើត្រូវជួសជុលមុនលក់ សូមបញ្ចូលថ្លៃជួសជុល — ថ្លៃសរុបនឹងគណនាដោយស្វ័យប្រវត្តិ។</t>
  </si>
  <si>
    <t xml:space="preserve">3. Set Status to 'In Stock'. Change it to 'Reserved' once a customer commits, or 'Sold' once paid. / កំណត់ស្ថានភាពជា 'In Stock' ប្តូរទៅ 'Reserved' ឬ 'Sold' នៅពេលសមស្រប។</t>
  </si>
  <si>
    <t xml:space="preserve">4. When sold, fill in Date Sold Out and Actual Sale Price. Profit and Margin calculate automatically. / នៅពេលលក់ សូមបញ្ចូលថ្ងៃលក់ចេញ និងតម្លៃលក់ពិត។ ប្រាក់ចំណេញនឹងគណនាដោយស្វ័យប្រវត្តិ។</t>
  </si>
  <si>
    <t xml:space="preserve">5. Keep 'Owner Documents' updated — anything not 'Complete' is flagged in red/yellow so nothing slips through. / សូមធ្វើបច្ចុប្បន្នភាព 'ឯកសារម្ចាស់' ជានិច្ច។</t>
  </si>
  <si>
    <t xml:space="preserve">6. Dashboard and Profit Summary update instantly from this sheet — no extra data entry needed. / Dashboard និង Profit Summary ធ្វើបច្ចុប្បន្នភាពភ្លាមៗ មិនចាំបាច់វាយបញ្ចូលបន្ថែមទេ។</t>
  </si>
  <si>
    <t xml:space="preserve">Vehicle Register</t>
  </si>
  <si>
    <t xml:space="preserve">One row per physical motorcycle — the single source of truth from purchase to sale. / មួយជួរសម្រាប់ម៉ូតូមួយគ្រឿង តាំងពីទិញរហូតដល់លក់។</t>
  </si>
  <si>
    <t xml:space="preserve">Unit ID
លេខរៀង</t>
  </si>
  <si>
    <t xml:space="preserve">Status
ស្ថានភាព</t>
  </si>
  <si>
    <t xml:space="preserve">Condition
លក្ខខណ្ឌ</t>
  </si>
  <si>
    <t xml:space="preserve">Brand
ម៉ាក</t>
  </si>
  <si>
    <t xml:space="preserve">Model
ម៉ូដែល</t>
  </si>
  <si>
    <t xml:space="preserve">Year
ឆ្នាំ</t>
  </si>
  <si>
    <t xml:space="preserve">Color
ពណ៌</t>
  </si>
  <si>
    <t xml:space="preserve">Engine Number
លេខម៉ាស៊ីន</t>
  </si>
  <si>
    <t xml:space="preserve">Chassis/Frame No.
លេខគ្រោង</t>
  </si>
  <si>
    <t xml:space="preserve">Plate Number
លេខស្លាកលេខ</t>
  </si>
  <si>
    <t xml:space="preserve">Date Bought In
ថ្ងៃទិញចូល</t>
  </si>
  <si>
    <t xml:space="preserve">Purchase Cost ($)
ថ្លៃទិញ ($)</t>
  </si>
  <si>
    <t xml:space="preserve">Repair Cost ($)
ថ្លៃជួសជុល ($)</t>
  </si>
  <si>
    <t xml:space="preserve">Total Cost ($)
ថ្លៃសរុប ($)</t>
  </si>
  <si>
    <t xml:space="preserve">Owner Documents
ឯកសារម្ចាស់</t>
  </si>
  <si>
    <t xml:space="preserve">Previous Owner
ម្ចាស់មុន</t>
  </si>
  <si>
    <t xml:space="preserve">Asking Price ($)
តម្លៃលក់ ($)</t>
  </si>
  <si>
    <t xml:space="preserve">Date Sold Out
ថ្ងៃលក់ចេញ</t>
  </si>
  <si>
    <t xml:space="preserve">Sale Price ($)
តម្លៃលក់ពិត ($)</t>
  </si>
  <si>
    <t xml:space="preserve">Days in Stock
ចំនួនថ្ងៃនៅស្តុក</t>
  </si>
  <si>
    <t xml:space="preserve">Profit ($)
ប្រាក់ចំណេញ ($)</t>
  </si>
  <si>
    <t xml:space="preserve">Margin (%)
អត្រាចំណេញ (%)</t>
  </si>
  <si>
    <t xml:space="preserve">Month Sold
ខែលក់ (ស្វ័យប្រវត្តិ)</t>
  </si>
  <si>
    <t xml:space="preserve">New Rank
(helper)</t>
  </si>
  <si>
    <t xml:space="preserve">Used Rank
(helper)</t>
  </si>
  <si>
    <t xml:space="preserve">RM-0001</t>
  </si>
  <si>
    <t xml:space="preserve">Sold</t>
  </si>
  <si>
    <t xml:space="preserve">New</t>
  </si>
  <si>
    <t xml:space="preserve">Honda</t>
  </si>
  <si>
    <t xml:space="preserve">Honda Dream 125i</t>
  </si>
  <si>
    <t xml:space="preserve">Red</t>
  </si>
  <si>
    <t xml:space="preserve">JC52E-118820</t>
  </si>
  <si>
    <t xml:space="preserve">MLHJC52E1P8118820</t>
  </si>
  <si>
    <t xml:space="preserve">2AA-1023</t>
  </si>
  <si>
    <t xml:space="preserve">Complete</t>
  </si>
  <si>
    <t xml:space="preserve">RM-0002</t>
  </si>
  <si>
    <t xml:space="preserve">Honda Wave 125i</t>
  </si>
  <si>
    <t xml:space="preserve">Black</t>
  </si>
  <si>
    <t xml:space="preserve">JA07E-220134</t>
  </si>
  <si>
    <t xml:space="preserve">MLHJA07E2P8220134</t>
  </si>
  <si>
    <t xml:space="preserve">2AA-1045</t>
  </si>
  <si>
    <t xml:space="preserve">RM-0003</t>
  </si>
  <si>
    <t xml:space="preserve">Blue</t>
  </si>
  <si>
    <t xml:space="preserve">JA07E-220135</t>
  </si>
  <si>
    <t xml:space="preserve">MLHJA07E2P8220135</t>
  </si>
  <si>
    <t xml:space="preserve">2AA-1046</t>
  </si>
  <si>
    <t xml:space="preserve">RM-0004</t>
  </si>
  <si>
    <t xml:space="preserve">JA07E-220136</t>
  </si>
  <si>
    <t xml:space="preserve">MLHJA07E2P8220136</t>
  </si>
  <si>
    <t xml:space="preserve">2AA-1047</t>
  </si>
  <si>
    <t xml:space="preserve">RM-0005</t>
  </si>
  <si>
    <t xml:space="preserve">Honda Click 125i</t>
  </si>
  <si>
    <t xml:space="preserve">White</t>
  </si>
  <si>
    <t xml:space="preserve">JF71E-330210</t>
  </si>
  <si>
    <t xml:space="preserve">MLHJF71E3P8330210</t>
  </si>
  <si>
    <t xml:space="preserve">2AA-1058</t>
  </si>
  <si>
    <t xml:space="preserve">RM-0006</t>
  </si>
  <si>
    <t xml:space="preserve">Honda Beat 110</t>
  </si>
  <si>
    <t xml:space="preserve">Silver</t>
  </si>
  <si>
    <t xml:space="preserve">JB02E-440310</t>
  </si>
  <si>
    <t xml:space="preserve">MLHJB02E4P8440310</t>
  </si>
  <si>
    <t xml:space="preserve">2AA-1061</t>
  </si>
  <si>
    <t xml:space="preserve">RM-0007</t>
  </si>
  <si>
    <t xml:space="preserve">JB02E-440311</t>
  </si>
  <si>
    <t xml:space="preserve">MLHJB02E4P8440311</t>
  </si>
  <si>
    <t xml:space="preserve">2AA-1062</t>
  </si>
  <si>
    <t xml:space="preserve">RM-0008</t>
  </si>
  <si>
    <t xml:space="preserve">Honda Scoopy i</t>
  </si>
  <si>
    <t xml:space="preserve">JC30E-550402</t>
  </si>
  <si>
    <t xml:space="preserve">MLHJC30E5P8550402</t>
  </si>
  <si>
    <t xml:space="preserve">2AA-1070</t>
  </si>
  <si>
    <t xml:space="preserve">RM-0009</t>
  </si>
  <si>
    <t xml:space="preserve">Pink</t>
  </si>
  <si>
    <t xml:space="preserve">JC30E-550403</t>
  </si>
  <si>
    <t xml:space="preserve">MLHJC30E5P8550403</t>
  </si>
  <si>
    <t xml:space="preserve">2AA-1071</t>
  </si>
  <si>
    <t xml:space="preserve">RM-0010</t>
  </si>
  <si>
    <t xml:space="preserve">Honda Future 125</t>
  </si>
  <si>
    <t xml:space="preserve">JD44E-660512</t>
  </si>
  <si>
    <t xml:space="preserve">MLHJD44E6P8660512</t>
  </si>
  <si>
    <t xml:space="preserve">2AA-1080</t>
  </si>
  <si>
    <t xml:space="preserve">RM-0011</t>
  </si>
  <si>
    <t xml:space="preserve">Used</t>
  </si>
  <si>
    <t xml:space="preserve">JC52E-098213</t>
  </si>
  <si>
    <t xml:space="preserve">MLHJC52E1M8098213</t>
  </si>
  <si>
    <t xml:space="preserve">2AB-4410</t>
  </si>
  <si>
    <t xml:space="preserve">Sok Dara</t>
  </si>
  <si>
    <t xml:space="preserve">RM-0012</t>
  </si>
  <si>
    <t xml:space="preserve">JC52E-098214</t>
  </si>
  <si>
    <t xml:space="preserve">MLHJC52E1M8098214</t>
  </si>
  <si>
    <t xml:space="preserve">2AB-4411</t>
  </si>
  <si>
    <t xml:space="preserve">Chan Vuthy</t>
  </si>
  <si>
    <t xml:space="preserve">RM-0013</t>
  </si>
  <si>
    <t xml:space="preserve">JC52E-087102</t>
  </si>
  <si>
    <t xml:space="preserve">MLHJC52E1L8087102</t>
  </si>
  <si>
    <t xml:space="preserve">2AB-4390</t>
  </si>
  <si>
    <t xml:space="preserve">Pending Transfer</t>
  </si>
  <si>
    <t xml:space="preserve">Heng Sopheak</t>
  </si>
  <si>
    <t xml:space="preserve">RM-0014</t>
  </si>
  <si>
    <t xml:space="preserve">Yamaha</t>
  </si>
  <si>
    <t xml:space="preserve">Yamaha NMAX 155</t>
  </si>
  <si>
    <t xml:space="preserve">Gray</t>
  </si>
  <si>
    <t xml:space="preserve">2DP-005521</t>
  </si>
  <si>
    <t xml:space="preserve">MH32DP005TK005521</t>
  </si>
  <si>
    <t xml:space="preserve">2AA-1102</t>
  </si>
  <si>
    <t xml:space="preserve">RM-0015</t>
  </si>
  <si>
    <t xml:space="preserve">JA07E-198832</t>
  </si>
  <si>
    <t xml:space="preserve">MLHJA07E2L8198832</t>
  </si>
  <si>
    <t xml:space="preserve">2AB-3320</t>
  </si>
  <si>
    <t xml:space="preserve">Ly Sreymom</t>
  </si>
  <si>
    <t xml:space="preserve">RM-0016</t>
  </si>
  <si>
    <t xml:space="preserve">JA07E-176621</t>
  </si>
  <si>
    <t xml:space="preserve">MLHJA07E2K8176621</t>
  </si>
  <si>
    <t xml:space="preserve">2AB-3298</t>
  </si>
  <si>
    <t xml:space="preserve">Missing Documents</t>
  </si>
  <si>
    <t xml:space="preserve">Un Bunthoeun</t>
  </si>
  <si>
    <t xml:space="preserve">RM-0017</t>
  </si>
  <si>
    <t xml:space="preserve">Honda Air Blade 125</t>
  </si>
  <si>
    <t xml:space="preserve">Matte Black</t>
  </si>
  <si>
    <t xml:space="preserve">JG10E-770601</t>
  </si>
  <si>
    <t xml:space="preserve">MLHJG10E7P8770601</t>
  </si>
  <si>
    <t xml:space="preserve">2AA-1130</t>
  </si>
  <si>
    <t xml:space="preserve">RM-0018</t>
  </si>
  <si>
    <t xml:space="preserve">JF71E-330211</t>
  </si>
  <si>
    <t xml:space="preserve">MLHJF71E3P8330211</t>
  </si>
  <si>
    <t xml:space="preserve">2AA-1141</t>
  </si>
  <si>
    <t xml:space="preserve">RM-0019</t>
  </si>
  <si>
    <t xml:space="preserve">JF71E-330212</t>
  </si>
  <si>
    <t xml:space="preserve">MLHJF71E3P8330212</t>
  </si>
  <si>
    <t xml:space="preserve">2AA-1142</t>
  </si>
  <si>
    <t xml:space="preserve">RM-0020</t>
  </si>
  <si>
    <t xml:space="preserve">Honda Vario 125</t>
  </si>
  <si>
    <t xml:space="preserve">JH22E-880711</t>
  </si>
  <si>
    <t xml:space="preserve">MLHJH22E8P8880711</t>
  </si>
  <si>
    <t xml:space="preserve">2AA-1150</t>
  </si>
  <si>
    <t xml:space="preserve">RM-0021</t>
  </si>
  <si>
    <t xml:space="preserve">Royal Enfield</t>
  </si>
  <si>
    <t xml:space="preserve">Royal Enfield Hunter 350</t>
  </si>
  <si>
    <t xml:space="preserve">RE350-991201</t>
  </si>
  <si>
    <t xml:space="preserve">MEE350RE1P8991201</t>
  </si>
  <si>
    <t xml:space="preserve">2AA-1160</t>
  </si>
  <si>
    <t xml:space="preserve">RM-0022</t>
  </si>
  <si>
    <t xml:space="preserve">In Stock</t>
  </si>
  <si>
    <t xml:space="preserve">JC52E-118825</t>
  </si>
  <si>
    <t xml:space="preserve">MLHJC52E1P8118825</t>
  </si>
  <si>
    <t xml:space="preserve">RM-0023</t>
  </si>
  <si>
    <t xml:space="preserve">JA07E-220140</t>
  </si>
  <si>
    <t xml:space="preserve">MLHJA07E2P8220140</t>
  </si>
  <si>
    <t xml:space="preserve">RM-0024</t>
  </si>
  <si>
    <t xml:space="preserve">JF71E-330220</t>
  </si>
  <si>
    <t xml:space="preserve">MLHJF71E3P8330220</t>
  </si>
  <si>
    <t xml:space="preserve">RM-0025</t>
  </si>
  <si>
    <t xml:space="preserve">JD44E-541203</t>
  </si>
  <si>
    <t xml:space="preserve">MLHJD44E6L8541203</t>
  </si>
  <si>
    <t xml:space="preserve">2AB-2201</t>
  </si>
  <si>
    <t xml:space="preserve">Prom Kimheng</t>
  </si>
  <si>
    <t xml:space="preserve">RM-0026</t>
  </si>
  <si>
    <t xml:space="preserve">JB02E-440320</t>
  </si>
  <si>
    <t xml:space="preserve">MLHJB02E4P8440320</t>
  </si>
  <si>
    <t xml:space="preserve">RM-0027</t>
  </si>
  <si>
    <t xml:space="preserve">JF71E-221044</t>
  </si>
  <si>
    <t xml:space="preserve">MLHJF71E3M8221044</t>
  </si>
  <si>
    <t xml:space="preserve">2AB-4502</t>
  </si>
  <si>
    <t xml:space="preserve">Vann Chenda</t>
  </si>
  <si>
    <t xml:space="preserve">RM-0028</t>
  </si>
  <si>
    <t xml:space="preserve">JG10E-770610</t>
  </si>
  <si>
    <t xml:space="preserve">MLHJG10E7P8770610</t>
  </si>
  <si>
    <t xml:space="preserve">RM-0029</t>
  </si>
  <si>
    <t xml:space="preserve">Reserved</t>
  </si>
  <si>
    <t xml:space="preserve">JH22E-880720</t>
  </si>
  <si>
    <t xml:space="preserve">MLHJH22E8P8880720</t>
  </si>
  <si>
    <t xml:space="preserve">RM-0030</t>
  </si>
  <si>
    <t xml:space="preserve">Yamaha Sniper 125</t>
  </si>
  <si>
    <t xml:space="preserve">B4T-113322</t>
  </si>
  <si>
    <t xml:space="preserve">MH3B4T001TK113322</t>
  </si>
  <si>
    <t xml:space="preserve">Add new units in new rows above row 500. Status/Condition/Owner Documents are dropdowns — click the cell and use the arrow. / បន្ថែមម៉ូតូថ្មីនៅជួរខាងលើជួរទី៥០០។ ស្ថានភាព/លក្ខខណ្ឌ/ឯកសារម្ចាស់ជាបញ្ជីទាញចុះ។</t>
  </si>
  <si>
    <t xml:space="preserve">New Stock</t>
  </si>
  <si>
    <t xml:space="preserve">Automatic view of every 'New' unit — pulled live from Vehicle Register. Don't type here; edit in Vehicle Register instead. / បង្ហាញដោយស្វ័យប្រវត្តិ សូមកែសម្រួលនៅ Vehicle Register។</t>
  </si>
  <si>
    <t xml:space="preserve">This sheet updates automatically. To add, edit, or remove a motorcycle, go to Vehicle Register. / សន្លឹកនេះធ្វើបច្ចុប្បន្នភាពដោយស្វ័យប្រវត្តិ។</t>
  </si>
  <si>
    <t xml:space="preserve">Used Stock</t>
  </si>
  <si>
    <t xml:space="preserve">Automatic view of every 'Used' unit — pulled live from Vehicle Register. Don't type here; edit in Vehicle Register instead. / បង្ហាញដោយស្វ័យប្រវត្តិ សូមកែសម្រួលនៅ Vehicle Register។</t>
  </si>
  <si>
    <t xml:space="preserve">Monthly Expenses</t>
  </si>
  <si>
    <t xml:space="preserve">Enter your fixed running costs for each month. / បញ្ចូលចំណាយប្រចាំខែរបស់អ្នក។</t>
  </si>
  <si>
    <t xml:space="preserve">Month
ខែ</t>
  </si>
  <si>
    <t xml:space="preserve">Rent ($)
ថ្លៃឈ្នួល ($)</t>
  </si>
  <si>
    <t xml:space="preserve">Staff Salaries ($)
ប្រាក់ខែបុគ្គលិក ($)</t>
  </si>
  <si>
    <t xml:space="preserve">Utilities ($)
ទឹក/ភ្លើង ($)</t>
  </si>
  <si>
    <t xml:space="preserve">Marketing ($)
ទីផ្សារ ($)</t>
  </si>
  <si>
    <t xml:space="preserve">Other ($)
ផ្សេងៗ ($)</t>
  </si>
  <si>
    <t xml:space="preserve">Total Expenses ($)
ចំណាយសរុប ($)</t>
  </si>
  <si>
    <t xml:space="preserve">TOTAL</t>
  </si>
  <si>
    <t xml:space="preserve">Profit Summary</t>
  </si>
  <si>
    <t xml:space="preserve">Automatic monthly report — pulls from Vehicle Register and Monthly Expenses. / របាយការណ៍ប្រចាំខែស្វ័យប្រវត្តិ។</t>
  </si>
  <si>
    <t xml:space="preserve">Revenue ($)
ចំណូល ($)</t>
  </si>
  <si>
    <t xml:space="preserve">COGS ($)
ថ្លៃដើមទំនិញ ($)</t>
  </si>
  <si>
    <t xml:space="preserve">Gross Profit ($)
ប្រាក់ចំណេញដុល ($)</t>
  </si>
  <si>
    <t xml:space="preserve">Gross Margin (%)
អត្រាចំណេញដុល (%)</t>
  </si>
  <si>
    <t xml:space="preserve">Operating Expenses ($)
ចំណាយប្រតិបត្តិការ ($)</t>
  </si>
  <si>
    <t xml:space="preserve">Net Profit ($)
ប្រាក់ចំណេញសុទ្ធ ($)</t>
  </si>
  <si>
    <t xml:space="preserve">Net Margin (%)
អត្រាចំណេញសុទ្ធ (%)</t>
  </si>
  <si>
    <t xml:space="preserve">Units Sold
ចំនួនលក់</t>
  </si>
  <si>
    <t xml:space="preserve">YEAR TOTAL</t>
  </si>
  <si>
    <t xml:space="preserve">Green cells pull automatically from Vehicle Register / Monthly Expenses. No manual entry needed on this sheet. / ក្រឡាពណ៌បៃតងទាញយកដោយស្វ័យប្រវត្តិ មិនចាំបាច់វាយបញ្ចូលទេ។</t>
  </si>
  <si>
    <t xml:space="preserve">Dashboard</t>
  </si>
  <si>
    <t xml:space="preserve">Live snapshot of your business — updates automatically. / ទិដ្ឋភាពសង្ខេបអាជីវកម្មរបស់អ្នក ធ្វើបច្ចុប្បន្នភាពដោយស្វ័យប្រវត្តិ។</t>
  </si>
  <si>
    <t xml:space="preserve">Units In Stock / ចំនួននៅស្តុក</t>
  </si>
  <si>
    <t xml:space="preserve">Units Reserved / ចំនួនកក់ទុក</t>
  </si>
  <si>
    <t xml:space="preserve">Units Sold (Total) / ចំនួនលក់សរុប</t>
  </si>
  <si>
    <t xml:space="preserve">Cash Tied Up in Stock ($) / ដើមទុនក្នុងស្តុក ($)</t>
  </si>
  <si>
    <t xml:space="preserve">Potential Revenue ($) / ចំណូលដែលអាចរកបាន ($)</t>
  </si>
  <si>
    <t xml:space="preserve">Total Profit — All Time ($) / ប្រាក់ចំណេញសរុប ($)</t>
  </si>
  <si>
    <t xml:space="preserve">Avg. Days in Stock / ថ្ងៃមធ្យមនៅស្តុក</t>
  </si>
  <si>
    <t xml:space="preserve">Units Missing Documents / ខ្វះឯកសារ</t>
  </si>
  <si>
    <t xml:space="preserve">Units Pending Doc Transfer / កំពុងផ្ទេរឯកសារ</t>
  </si>
  <si>
    <t xml:space="preserve">Documents needing attention are also highlighted directly in Vehicle Register (yellow = pending transfer, red = missing). / ឯកសារត្រូវការការយកចិត្តទុកដាក់ត្រូវបានបន្លិចនៅ Vehicle Register (លឿង=កំពុងផ្ទេរ ក្រហម=ខ្វះ)។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</si>
</sst>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yy"/>
    <numFmt numFmtId="166" formatCode="\$#,##0;&quot;($&quot;#,##0\);\-"/>
    <numFmt numFmtId="167" formatCode="General"/>
    <numFmt numFmtId="168" formatCode="0.0%;\(0.0%\);\-"/>
    <numFmt numFmtId="169" formatCode="mmm\-yyyy"/>
    <numFmt numFmtId="170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0B0D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20"/>
      <color rgb="FF0B0B0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E0E0E0"/>
      </patternFill>
    </fill>
    <fill>
      <patternFill patternType="solid">
        <fgColor rgb="FFFFEB9C"/>
        <bgColor rgb="FFFFD8B0"/>
      </patternFill>
    </fill>
    <fill>
      <patternFill patternType="solid">
        <fgColor rgb="FFFFC7CE"/>
        <bgColor rgb="FFFFD8B0"/>
      </patternFill>
    </fill>
    <fill>
      <patternFill patternType="solid">
        <fgColor rgb="FF1B1B1F"/>
        <bgColor rgb="FF0B0B0D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B1B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FFD8B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ill>
        <patternFill>
          <bgColor rgb="FFFFD8B0"/>
        </patternFill>
      </fill>
    </dxf>
    <dxf>
      <fill>
        <patternFill>
          <bgColor rgb="FFE0E0E0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FD8B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0B0D"/>
      <rgbColor rgb="FF006100"/>
      <rgbColor rgb="FF993300"/>
      <rgbColor rgb="FF993366"/>
      <rgbColor rgb="FF333399"/>
      <rgbColor rgb="FF1B1B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24" hidden="false" customHeight="true" outlineLevel="0" collapsed="false">
      <c r="A1" s="1" t="s">
        <v>0</v>
      </c>
      <c r="B1" s="1"/>
    </row>
    <row r="2" customFormat="false" ht="12.65" hidden="false" customHeight="false" outlineLevel="0" collapsed="false">
      <c r="A2" s="2" t="s">
        <v>1</v>
      </c>
      <c r="B2" s="2"/>
    </row>
    <row r="3" customFormat="false" ht="6" hidden="false" customHeight="true" outlineLevel="0" collapsed="false"/>
    <row r="5" customFormat="false" ht="15" hidden="false" customHeight="false" outlineLevel="0" collapsed="false">
      <c r="A5" s="3"/>
      <c r="B5" s="4"/>
    </row>
    <row r="6" customFormat="false" ht="15" hidden="false" customHeight="false" outlineLevel="0" collapsed="false">
      <c r="A6" s="5" t="s">
        <v>2</v>
      </c>
      <c r="B6" s="4"/>
    </row>
    <row r="7" customFormat="false" ht="27.75" hidden="false" customHeight="true" outlineLevel="0" collapsed="false">
      <c r="A7" s="3" t="s">
        <v>3</v>
      </c>
      <c r="B7" s="4" t="s">
        <v>4</v>
      </c>
    </row>
    <row r="8" customFormat="false" ht="27.75" hidden="false" customHeight="true" outlineLevel="0" collapsed="false">
      <c r="A8" s="3" t="s">
        <v>5</v>
      </c>
      <c r="B8" s="4" t="s">
        <v>6</v>
      </c>
    </row>
    <row r="9" customFormat="false" ht="27.75" hidden="false" customHeight="true" outlineLevel="0" collapsed="false">
      <c r="A9" s="3" t="s">
        <v>7</v>
      </c>
      <c r="B9" s="4" t="s">
        <v>8</v>
      </c>
    </row>
    <row r="10" customFormat="false" ht="27.75" hidden="false" customHeight="true" outlineLevel="0" collapsed="false">
      <c r="A10" s="3" t="s">
        <v>9</v>
      </c>
      <c r="B10" s="4" t="s">
        <v>10</v>
      </c>
    </row>
    <row r="11" customFormat="false" ht="27.75" hidden="false" customHeight="true" outlineLevel="0" collapsed="false">
      <c r="A11" s="3" t="s">
        <v>11</v>
      </c>
      <c r="B11" s="4" t="s">
        <v>12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5" t="s">
        <v>13</v>
      </c>
      <c r="B13" s="4"/>
    </row>
    <row r="15" customFormat="false" ht="27.75" hidden="false" customHeight="true" outlineLevel="0" collapsed="false">
      <c r="A15" s="5" t="s">
        <v>14</v>
      </c>
      <c r="B15" s="4" t="s">
        <v>15</v>
      </c>
    </row>
    <row r="16" customFormat="false" ht="27.75" hidden="false" customHeight="true" outlineLevel="0" collapsed="false">
      <c r="A16" s="5" t="s">
        <v>16</v>
      </c>
      <c r="B16" s="4" t="s">
        <v>17</v>
      </c>
    </row>
    <row r="17" customFormat="false" ht="27.75" hidden="false" customHeight="true" outlineLevel="0" collapsed="false">
      <c r="A17" s="5" t="s">
        <v>18</v>
      </c>
      <c r="B17" s="4" t="s">
        <v>19</v>
      </c>
    </row>
    <row r="18" customFormat="false" ht="27.75" hidden="false" customHeight="true" outlineLevel="0" collapsed="false">
      <c r="A18" s="6" t="s">
        <v>20</v>
      </c>
      <c r="B18" s="4" t="s">
        <v>21</v>
      </c>
    </row>
    <row r="19" customFormat="false" ht="27.75" hidden="false" customHeight="true" outlineLevel="0" collapsed="false">
      <c r="A19" s="7" t="s">
        <v>22</v>
      </c>
      <c r="B19" s="4" t="s">
        <v>23</v>
      </c>
    </row>
    <row r="20" customFormat="false" ht="27.75" hidden="false" customHeight="true" outlineLevel="0" collapsed="false">
      <c r="A20" s="8" t="s">
        <v>24</v>
      </c>
      <c r="B20" s="4" t="s">
        <v>25</v>
      </c>
    </row>
    <row r="22" customFormat="false" ht="15" hidden="false" customHeight="false" outlineLevel="0" collapsed="false">
      <c r="A22" s="5" t="s">
        <v>26</v>
      </c>
    </row>
    <row r="23" customFormat="false" ht="39.75" hidden="false" customHeight="true" outlineLevel="0" collapsed="false">
      <c r="A23" s="9" t="s">
        <v>27</v>
      </c>
      <c r="B23" s="9"/>
    </row>
    <row r="24" customFormat="false" ht="39.75" hidden="false" customHeight="true" outlineLevel="0" collapsed="false">
      <c r="A24" s="9" t="s">
        <v>28</v>
      </c>
      <c r="B24" s="9"/>
    </row>
    <row r="25" customFormat="false" ht="39.75" hidden="false" customHeight="true" outlineLevel="0" collapsed="false">
      <c r="A25" s="9" t="s">
        <v>29</v>
      </c>
      <c r="B25" s="9"/>
    </row>
    <row r="26" customFormat="false" ht="39.75" hidden="false" customHeight="true" outlineLevel="0" collapsed="false">
      <c r="A26" s="9" t="s">
        <v>30</v>
      </c>
      <c r="B26" s="9"/>
    </row>
    <row r="27" customFormat="false" ht="39.75" hidden="false" customHeight="true" outlineLevel="0" collapsed="false">
      <c r="A27" s="9" t="s">
        <v>31</v>
      </c>
      <c r="B27" s="9"/>
    </row>
    <row r="28" customFormat="false" ht="39.75" hidden="false" customHeight="true" outlineLevel="0" collapsed="false">
      <c r="A28" s="9" t="s">
        <v>32</v>
      </c>
      <c r="B28" s="9"/>
    </row>
  </sheetData>
  <mergeCells count="8">
    <mergeCell ref="A1:B1"/>
    <mergeCell ref="A2:B2"/>
    <mergeCell ref="A23:B23"/>
    <mergeCell ref="A24:B24"/>
    <mergeCell ref="A25:B25"/>
    <mergeCell ref="A26:B26"/>
    <mergeCell ref="A27:B27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15"/>
    <col collapsed="false" customWidth="true" hidden="false" outlineLevel="0" max="16" min="16" style="0" width="18"/>
    <col collapsed="false" customWidth="true" hidden="false" outlineLevel="0" max="18" min="17" style="0" width="13"/>
    <col collapsed="false" customWidth="true" hidden="false" outlineLevel="0" max="19" min="19" style="0" width="15"/>
    <col collapsed="false" customWidth="true" hidden="false" outlineLevel="0" max="21" min="20" style="0" width="11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true" outlineLevel="0" max="25" min="24" style="0" width="13"/>
  </cols>
  <sheetData>
    <row r="1" customFormat="false" ht="24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6" hidden="false" customHeight="true" outlineLevel="0" collapsed="false"/>
    <row r="4" customFormat="false" ht="33.75" hidden="false" customHeight="true" outlineLevel="0" collapsed="false">
      <c r="A4" s="10" t="s">
        <v>35</v>
      </c>
      <c r="B4" s="10" t="s">
        <v>36</v>
      </c>
      <c r="C4" s="10" t="s">
        <v>37</v>
      </c>
      <c r="D4" s="10" t="s">
        <v>38</v>
      </c>
      <c r="E4" s="10" t="s">
        <v>39</v>
      </c>
      <c r="F4" s="10" t="s">
        <v>40</v>
      </c>
      <c r="G4" s="10" t="s">
        <v>41</v>
      </c>
      <c r="H4" s="10" t="s">
        <v>42</v>
      </c>
      <c r="I4" s="10" t="s">
        <v>43</v>
      </c>
      <c r="J4" s="10" t="s">
        <v>44</v>
      </c>
      <c r="K4" s="10" t="s">
        <v>45</v>
      </c>
      <c r="L4" s="10" t="s">
        <v>46</v>
      </c>
      <c r="M4" s="10" t="s">
        <v>47</v>
      </c>
      <c r="N4" s="10" t="s">
        <v>48</v>
      </c>
      <c r="O4" s="10" t="s">
        <v>49</v>
      </c>
      <c r="P4" s="10" t="s">
        <v>50</v>
      </c>
      <c r="Q4" s="10" t="s">
        <v>51</v>
      </c>
      <c r="R4" s="10" t="s">
        <v>52</v>
      </c>
      <c r="S4" s="10" t="s">
        <v>53</v>
      </c>
      <c r="T4" s="10" t="s">
        <v>54</v>
      </c>
      <c r="U4" s="10" t="s">
        <v>55</v>
      </c>
      <c r="V4" s="10" t="s">
        <v>56</v>
      </c>
      <c r="W4" s="10" t="s">
        <v>57</v>
      </c>
      <c r="X4" s="10" t="s">
        <v>58</v>
      </c>
      <c r="Y4" s="10" t="s">
        <v>59</v>
      </c>
    </row>
    <row r="5" customFormat="false" ht="15" hidden="false" customHeight="false" outlineLevel="0" collapsed="false">
      <c r="A5" s="11" t="s">
        <v>60</v>
      </c>
      <c r="B5" s="11" t="s">
        <v>61</v>
      </c>
      <c r="C5" s="11" t="s">
        <v>62</v>
      </c>
      <c r="D5" s="11" t="s">
        <v>63</v>
      </c>
      <c r="E5" s="11" t="s">
        <v>64</v>
      </c>
      <c r="F5" s="11" t="n">
        <v>2026</v>
      </c>
      <c r="G5" s="11" t="s">
        <v>65</v>
      </c>
      <c r="H5" s="11" t="s">
        <v>66</v>
      </c>
      <c r="I5" s="11" t="s">
        <v>67</v>
      </c>
      <c r="J5" s="11" t="s">
        <v>68</v>
      </c>
      <c r="K5" s="12" t="n">
        <v>46162</v>
      </c>
      <c r="L5" s="13" t="n">
        <v>1550</v>
      </c>
      <c r="M5" s="13" t="n">
        <v>0</v>
      </c>
      <c r="N5" s="14" t="n">
        <f aca="false">L5+M5</f>
        <v>1550</v>
      </c>
      <c r="O5" s="11" t="s">
        <v>69</v>
      </c>
      <c r="P5" s="11"/>
      <c r="Q5" s="13" t="n">
        <v>1850</v>
      </c>
      <c r="R5" s="12" t="n">
        <v>46176</v>
      </c>
      <c r="S5" s="13" t="n">
        <v>1850</v>
      </c>
      <c r="T5" s="15" t="n">
        <f aca="true">IF(B5="Sold",R5-K5,TODAY()-K5)</f>
        <v>14</v>
      </c>
      <c r="U5" s="14" t="n">
        <f aca="false">IF(B5="Sold",S5-N5,"")</f>
        <v>300</v>
      </c>
      <c r="V5" s="16" t="n">
        <f aca="false">IF(B5="Sold",IFERROR(U5/S5,0),"")</f>
        <v>0.162162162162162</v>
      </c>
      <c r="W5" s="17" t="n">
        <f aca="false">IF(B5="Sold",DATE(YEAR(R5),MONTH(R5),1),"")</f>
        <v>46174</v>
      </c>
      <c r="X5" s="15" t="n">
        <f aca="false">IF(C5="New",COUNTIFS($C$5:C5,"New"),"")</f>
        <v>1</v>
      </c>
      <c r="Y5" s="15" t="str">
        <f aca="false">IF(C5="Used",COUNTIFS($C$5:C5,"Used"),"")</f>
        <v/>
      </c>
    </row>
    <row r="6" customFormat="false" ht="15" hidden="false" customHeight="false" outlineLevel="0" collapsed="false">
      <c r="A6" s="11" t="s">
        <v>70</v>
      </c>
      <c r="B6" s="11" t="s">
        <v>61</v>
      </c>
      <c r="C6" s="11" t="s">
        <v>62</v>
      </c>
      <c r="D6" s="11" t="s">
        <v>63</v>
      </c>
      <c r="E6" s="11" t="s">
        <v>71</v>
      </c>
      <c r="F6" s="11" t="n">
        <v>2026</v>
      </c>
      <c r="G6" s="11" t="s">
        <v>72</v>
      </c>
      <c r="H6" s="11" t="s">
        <v>73</v>
      </c>
      <c r="I6" s="11" t="s">
        <v>74</v>
      </c>
      <c r="J6" s="11" t="s">
        <v>75</v>
      </c>
      <c r="K6" s="12" t="n">
        <v>46164</v>
      </c>
      <c r="L6" s="13" t="n">
        <v>1450</v>
      </c>
      <c r="M6" s="13" t="n">
        <v>0</v>
      </c>
      <c r="N6" s="14" t="n">
        <f aca="false">L6+M6</f>
        <v>1450</v>
      </c>
      <c r="O6" s="11" t="s">
        <v>69</v>
      </c>
      <c r="P6" s="11"/>
      <c r="Q6" s="13" t="n">
        <v>1750</v>
      </c>
      <c r="R6" s="12" t="n">
        <v>46183</v>
      </c>
      <c r="S6" s="13" t="n">
        <v>1750</v>
      </c>
      <c r="T6" s="15" t="n">
        <f aca="true">IF(B6="Sold",R6-K6,TODAY()-K6)</f>
        <v>19</v>
      </c>
      <c r="U6" s="14" t="n">
        <f aca="false">IF(B6="Sold",S6-N6,"")</f>
        <v>300</v>
      </c>
      <c r="V6" s="16" t="n">
        <f aca="false">IF(B6="Sold",IFERROR(U6/S6,0),"")</f>
        <v>0.171428571428571</v>
      </c>
      <c r="W6" s="17" t="n">
        <f aca="false">IF(B6="Sold",DATE(YEAR(R6),MONTH(R6),1),"")</f>
        <v>46174</v>
      </c>
      <c r="X6" s="15" t="n">
        <f aca="false">IF(C6="New",COUNTIFS($C$5:C6,"New"),"")</f>
        <v>2</v>
      </c>
      <c r="Y6" s="15" t="str">
        <f aca="false">IF(C6="Used",COUNTIFS($C$5:C6,"Used"),"")</f>
        <v/>
      </c>
    </row>
    <row r="7" customFormat="false" ht="15" hidden="false" customHeight="false" outlineLevel="0" collapsed="false">
      <c r="A7" s="11" t="s">
        <v>76</v>
      </c>
      <c r="B7" s="11" t="s">
        <v>61</v>
      </c>
      <c r="C7" s="11" t="s">
        <v>62</v>
      </c>
      <c r="D7" s="11" t="s">
        <v>63</v>
      </c>
      <c r="E7" s="11" t="s">
        <v>71</v>
      </c>
      <c r="F7" s="11" t="n">
        <v>2026</v>
      </c>
      <c r="G7" s="11" t="s">
        <v>77</v>
      </c>
      <c r="H7" s="11" t="s">
        <v>78</v>
      </c>
      <c r="I7" s="11" t="s">
        <v>79</v>
      </c>
      <c r="J7" s="11" t="s">
        <v>80</v>
      </c>
      <c r="K7" s="12" t="n">
        <v>46164</v>
      </c>
      <c r="L7" s="13" t="n">
        <v>1450</v>
      </c>
      <c r="M7" s="13" t="n">
        <v>0</v>
      </c>
      <c r="N7" s="14" t="n">
        <f aca="false">L7+M7</f>
        <v>1450</v>
      </c>
      <c r="O7" s="11" t="s">
        <v>69</v>
      </c>
      <c r="P7" s="11"/>
      <c r="Q7" s="13" t="n">
        <v>1750</v>
      </c>
      <c r="R7" s="12" t="n">
        <v>46183</v>
      </c>
      <c r="S7" s="13" t="n">
        <v>1750</v>
      </c>
      <c r="T7" s="15" t="n">
        <f aca="true">IF(B7="Sold",R7-K7,TODAY()-K7)</f>
        <v>19</v>
      </c>
      <c r="U7" s="14" t="n">
        <f aca="false">IF(B7="Sold",S7-N7,"")</f>
        <v>300</v>
      </c>
      <c r="V7" s="16" t="n">
        <f aca="false">IF(B7="Sold",IFERROR(U7/S7,0),"")</f>
        <v>0.171428571428571</v>
      </c>
      <c r="W7" s="17" t="n">
        <f aca="false">IF(B7="Sold",DATE(YEAR(R7),MONTH(R7),1),"")</f>
        <v>46174</v>
      </c>
      <c r="X7" s="15" t="n">
        <f aca="false">IF(C7="New",COUNTIFS($C$5:C7,"New"),"")</f>
        <v>3</v>
      </c>
      <c r="Y7" s="15" t="str">
        <f aca="false">IF(C7="Used",COUNTIFS($C$5:C7,"Used"),"")</f>
        <v/>
      </c>
    </row>
    <row r="8" customFormat="false" ht="15" hidden="false" customHeight="false" outlineLevel="0" collapsed="false">
      <c r="A8" s="11" t="s">
        <v>81</v>
      </c>
      <c r="B8" s="11" t="s">
        <v>61</v>
      </c>
      <c r="C8" s="11" t="s">
        <v>62</v>
      </c>
      <c r="D8" s="11" t="s">
        <v>63</v>
      </c>
      <c r="E8" s="11" t="s">
        <v>71</v>
      </c>
      <c r="F8" s="11" t="n">
        <v>2026</v>
      </c>
      <c r="G8" s="11" t="s">
        <v>65</v>
      </c>
      <c r="H8" s="11" t="s">
        <v>82</v>
      </c>
      <c r="I8" s="11" t="s">
        <v>83</v>
      </c>
      <c r="J8" s="11" t="s">
        <v>84</v>
      </c>
      <c r="K8" s="12" t="n">
        <v>46164</v>
      </c>
      <c r="L8" s="13" t="n">
        <v>1450</v>
      </c>
      <c r="M8" s="13" t="n">
        <v>0</v>
      </c>
      <c r="N8" s="14" t="n">
        <f aca="false">L8+M8</f>
        <v>1450</v>
      </c>
      <c r="O8" s="11" t="s">
        <v>69</v>
      </c>
      <c r="P8" s="11"/>
      <c r="Q8" s="13" t="n">
        <v>1750</v>
      </c>
      <c r="R8" s="12" t="n">
        <v>46183</v>
      </c>
      <c r="S8" s="13" t="n">
        <v>1750</v>
      </c>
      <c r="T8" s="15" t="n">
        <f aca="true">IF(B8="Sold",R8-K8,TODAY()-K8)</f>
        <v>19</v>
      </c>
      <c r="U8" s="14" t="n">
        <f aca="false">IF(B8="Sold",S8-N8,"")</f>
        <v>300</v>
      </c>
      <c r="V8" s="16" t="n">
        <f aca="false">IF(B8="Sold",IFERROR(U8/S8,0),"")</f>
        <v>0.171428571428571</v>
      </c>
      <c r="W8" s="17" t="n">
        <f aca="false">IF(B8="Sold",DATE(YEAR(R8),MONTH(R8),1),"")</f>
        <v>46174</v>
      </c>
      <c r="X8" s="15" t="n">
        <f aca="false">IF(C8="New",COUNTIFS($C$5:C8,"New"),"")</f>
        <v>4</v>
      </c>
      <c r="Y8" s="15" t="str">
        <f aca="false">IF(C8="Used",COUNTIFS($C$5:C8,"Used"),"")</f>
        <v/>
      </c>
    </row>
    <row r="9" customFormat="false" ht="15" hidden="false" customHeight="false" outlineLevel="0" collapsed="false">
      <c r="A9" s="11" t="s">
        <v>85</v>
      </c>
      <c r="B9" s="11" t="s">
        <v>61</v>
      </c>
      <c r="C9" s="11" t="s">
        <v>62</v>
      </c>
      <c r="D9" s="11" t="s">
        <v>63</v>
      </c>
      <c r="E9" s="11" t="s">
        <v>86</v>
      </c>
      <c r="F9" s="11" t="n">
        <v>2026</v>
      </c>
      <c r="G9" s="11" t="s">
        <v>87</v>
      </c>
      <c r="H9" s="11" t="s">
        <v>88</v>
      </c>
      <c r="I9" s="11" t="s">
        <v>89</v>
      </c>
      <c r="J9" s="11" t="s">
        <v>90</v>
      </c>
      <c r="K9" s="12" t="n">
        <v>46167</v>
      </c>
      <c r="L9" s="13" t="n">
        <v>1750</v>
      </c>
      <c r="M9" s="13" t="n">
        <v>0</v>
      </c>
      <c r="N9" s="14" t="n">
        <f aca="false">L9+M9</f>
        <v>1750</v>
      </c>
      <c r="O9" s="11" t="s">
        <v>69</v>
      </c>
      <c r="P9" s="11"/>
      <c r="Q9" s="13" t="n">
        <v>2100</v>
      </c>
      <c r="R9" s="12" t="n">
        <v>46191</v>
      </c>
      <c r="S9" s="13" t="n">
        <v>2100</v>
      </c>
      <c r="T9" s="15" t="n">
        <f aca="true">IF(B9="Sold",R9-K9,TODAY()-K9)</f>
        <v>24</v>
      </c>
      <c r="U9" s="14" t="n">
        <f aca="false">IF(B9="Sold",S9-N9,"")</f>
        <v>350</v>
      </c>
      <c r="V9" s="16" t="n">
        <f aca="false">IF(B9="Sold",IFERROR(U9/S9,0),"")</f>
        <v>0.166666666666667</v>
      </c>
      <c r="W9" s="17" t="n">
        <f aca="false">IF(B9="Sold",DATE(YEAR(R9),MONTH(R9),1),"")</f>
        <v>46174</v>
      </c>
      <c r="X9" s="15" t="n">
        <f aca="false">IF(C9="New",COUNTIFS($C$5:C9,"New"),"")</f>
        <v>5</v>
      </c>
      <c r="Y9" s="15" t="str">
        <f aca="false">IF(C9="Used",COUNTIFS($C$5:C9,"Used"),"")</f>
        <v/>
      </c>
    </row>
    <row r="10" customFormat="false" ht="15" hidden="false" customHeight="false" outlineLevel="0" collapsed="false">
      <c r="A10" s="11" t="s">
        <v>91</v>
      </c>
      <c r="B10" s="11" t="s">
        <v>61</v>
      </c>
      <c r="C10" s="11" t="s">
        <v>62</v>
      </c>
      <c r="D10" s="11" t="s">
        <v>63</v>
      </c>
      <c r="E10" s="11" t="s">
        <v>92</v>
      </c>
      <c r="F10" s="11" t="n">
        <v>2026</v>
      </c>
      <c r="G10" s="11" t="s">
        <v>93</v>
      </c>
      <c r="H10" s="11" t="s">
        <v>94</v>
      </c>
      <c r="I10" s="11" t="s">
        <v>95</v>
      </c>
      <c r="J10" s="11" t="s">
        <v>96</v>
      </c>
      <c r="K10" s="12" t="n">
        <v>46170</v>
      </c>
      <c r="L10" s="13" t="n">
        <v>1300</v>
      </c>
      <c r="M10" s="13" t="n">
        <v>0</v>
      </c>
      <c r="N10" s="14" t="n">
        <f aca="false">L10+M10</f>
        <v>1300</v>
      </c>
      <c r="O10" s="11" t="s">
        <v>69</v>
      </c>
      <c r="P10" s="11"/>
      <c r="Q10" s="13" t="n">
        <v>1600</v>
      </c>
      <c r="R10" s="12" t="n">
        <v>46198</v>
      </c>
      <c r="S10" s="13" t="n">
        <v>1600</v>
      </c>
      <c r="T10" s="15" t="n">
        <f aca="true">IF(B10="Sold",R10-K10,TODAY()-K10)</f>
        <v>28</v>
      </c>
      <c r="U10" s="14" t="n">
        <f aca="false">IF(B10="Sold",S10-N10,"")</f>
        <v>300</v>
      </c>
      <c r="V10" s="16" t="n">
        <f aca="false">IF(B10="Sold",IFERROR(U10/S10,0),"")</f>
        <v>0.1875</v>
      </c>
      <c r="W10" s="17" t="n">
        <f aca="false">IF(B10="Sold",DATE(YEAR(R10),MONTH(R10),1),"")</f>
        <v>46174</v>
      </c>
      <c r="X10" s="15" t="n">
        <f aca="false">IF(C10="New",COUNTIFS($C$5:C10,"New"),"")</f>
        <v>6</v>
      </c>
      <c r="Y10" s="15" t="str">
        <f aca="false">IF(C10="Used",COUNTIFS($C$5:C10,"Used"),"")</f>
        <v/>
      </c>
    </row>
    <row r="11" customFormat="false" ht="15" hidden="false" customHeight="false" outlineLevel="0" collapsed="false">
      <c r="A11" s="11" t="s">
        <v>97</v>
      </c>
      <c r="B11" s="11" t="s">
        <v>61</v>
      </c>
      <c r="C11" s="11" t="s">
        <v>62</v>
      </c>
      <c r="D11" s="11" t="s">
        <v>63</v>
      </c>
      <c r="E11" s="11" t="s">
        <v>92</v>
      </c>
      <c r="F11" s="11" t="n">
        <v>2026</v>
      </c>
      <c r="G11" s="11" t="s">
        <v>72</v>
      </c>
      <c r="H11" s="11" t="s">
        <v>98</v>
      </c>
      <c r="I11" s="11" t="s">
        <v>99</v>
      </c>
      <c r="J11" s="11" t="s">
        <v>100</v>
      </c>
      <c r="K11" s="12" t="n">
        <v>46170</v>
      </c>
      <c r="L11" s="13" t="n">
        <v>1300</v>
      </c>
      <c r="M11" s="13" t="n">
        <v>0</v>
      </c>
      <c r="N11" s="14" t="n">
        <f aca="false">L11+M11</f>
        <v>1300</v>
      </c>
      <c r="O11" s="11" t="s">
        <v>69</v>
      </c>
      <c r="P11" s="11"/>
      <c r="Q11" s="13" t="n">
        <v>1600</v>
      </c>
      <c r="R11" s="12" t="n">
        <v>46198</v>
      </c>
      <c r="S11" s="13" t="n">
        <v>1600</v>
      </c>
      <c r="T11" s="15" t="n">
        <f aca="true">IF(B11="Sold",R11-K11,TODAY()-K11)</f>
        <v>28</v>
      </c>
      <c r="U11" s="14" t="n">
        <f aca="false">IF(B11="Sold",S11-N11,"")</f>
        <v>300</v>
      </c>
      <c r="V11" s="16" t="n">
        <f aca="false">IF(B11="Sold",IFERROR(U11/S11,0),"")</f>
        <v>0.1875</v>
      </c>
      <c r="W11" s="17" t="n">
        <f aca="false">IF(B11="Sold",DATE(YEAR(R11),MONTH(R11),1),"")</f>
        <v>46174</v>
      </c>
      <c r="X11" s="15" t="n">
        <f aca="false">IF(C11="New",COUNTIFS($C$5:C11,"New"),"")</f>
        <v>7</v>
      </c>
      <c r="Y11" s="15" t="str">
        <f aca="false">IF(C11="Used",COUNTIFS($C$5:C11,"Used"),"")</f>
        <v/>
      </c>
    </row>
    <row r="12" customFormat="false" ht="15" hidden="false" customHeight="false" outlineLevel="0" collapsed="false">
      <c r="A12" s="11" t="s">
        <v>101</v>
      </c>
      <c r="B12" s="11" t="s">
        <v>61</v>
      </c>
      <c r="C12" s="11" t="s">
        <v>62</v>
      </c>
      <c r="D12" s="11" t="s">
        <v>63</v>
      </c>
      <c r="E12" s="11" t="s">
        <v>102</v>
      </c>
      <c r="F12" s="11" t="n">
        <v>2026</v>
      </c>
      <c r="G12" s="11" t="s">
        <v>87</v>
      </c>
      <c r="H12" s="11" t="s">
        <v>103</v>
      </c>
      <c r="I12" s="11" t="s">
        <v>104</v>
      </c>
      <c r="J12" s="11" t="s">
        <v>105</v>
      </c>
      <c r="K12" s="12" t="n">
        <v>46174</v>
      </c>
      <c r="L12" s="13" t="n">
        <v>1600</v>
      </c>
      <c r="M12" s="13" t="n">
        <v>0</v>
      </c>
      <c r="N12" s="14" t="n">
        <f aca="false">L12+M12</f>
        <v>1600</v>
      </c>
      <c r="O12" s="11" t="s">
        <v>69</v>
      </c>
      <c r="P12" s="11"/>
      <c r="Q12" s="13" t="n">
        <v>1950</v>
      </c>
      <c r="R12" s="12" t="n">
        <v>46205</v>
      </c>
      <c r="S12" s="13" t="n">
        <v>1950</v>
      </c>
      <c r="T12" s="15" t="n">
        <f aca="true">IF(B12="Sold",R12-K12,TODAY()-K12)</f>
        <v>31</v>
      </c>
      <c r="U12" s="14" t="n">
        <f aca="false">IF(B12="Sold",S12-N12,"")</f>
        <v>350</v>
      </c>
      <c r="V12" s="16" t="n">
        <f aca="false">IF(B12="Sold",IFERROR(U12/S12,0),"")</f>
        <v>0.17948717948718</v>
      </c>
      <c r="W12" s="17" t="n">
        <f aca="false">IF(B12="Sold",DATE(YEAR(R12),MONTH(R12),1),"")</f>
        <v>46204</v>
      </c>
      <c r="X12" s="15" t="n">
        <f aca="false">IF(C12="New",COUNTIFS($C$5:C12,"New"),"")</f>
        <v>8</v>
      </c>
      <c r="Y12" s="15" t="str">
        <f aca="false">IF(C12="Used",COUNTIFS($C$5:C12,"Used"),"")</f>
        <v/>
      </c>
    </row>
    <row r="13" customFormat="false" ht="15" hidden="false" customHeight="false" outlineLevel="0" collapsed="false">
      <c r="A13" s="11" t="s">
        <v>106</v>
      </c>
      <c r="B13" s="11" t="s">
        <v>61</v>
      </c>
      <c r="C13" s="11" t="s">
        <v>62</v>
      </c>
      <c r="D13" s="11" t="s">
        <v>63</v>
      </c>
      <c r="E13" s="11" t="s">
        <v>102</v>
      </c>
      <c r="F13" s="11" t="n">
        <v>2026</v>
      </c>
      <c r="G13" s="11" t="s">
        <v>107</v>
      </c>
      <c r="H13" s="11" t="s">
        <v>108</v>
      </c>
      <c r="I13" s="11" t="s">
        <v>109</v>
      </c>
      <c r="J13" s="11" t="s">
        <v>110</v>
      </c>
      <c r="K13" s="12" t="n">
        <v>46174</v>
      </c>
      <c r="L13" s="13" t="n">
        <v>1600</v>
      </c>
      <c r="M13" s="13" t="n">
        <v>0</v>
      </c>
      <c r="N13" s="14" t="n">
        <f aca="false">L13+M13</f>
        <v>1600</v>
      </c>
      <c r="O13" s="11" t="s">
        <v>69</v>
      </c>
      <c r="P13" s="11"/>
      <c r="Q13" s="13" t="n">
        <v>1950</v>
      </c>
      <c r="R13" s="12" t="n">
        <v>46205</v>
      </c>
      <c r="S13" s="13" t="n">
        <v>1950</v>
      </c>
      <c r="T13" s="15" t="n">
        <f aca="true">IF(B13="Sold",R13-K13,TODAY()-K13)</f>
        <v>31</v>
      </c>
      <c r="U13" s="14" t="n">
        <f aca="false">IF(B13="Sold",S13-N13,"")</f>
        <v>350</v>
      </c>
      <c r="V13" s="16" t="n">
        <f aca="false">IF(B13="Sold",IFERROR(U13/S13,0),"")</f>
        <v>0.17948717948718</v>
      </c>
      <c r="W13" s="17" t="n">
        <f aca="false">IF(B13="Sold",DATE(YEAR(R13),MONTH(R13),1),"")</f>
        <v>46204</v>
      </c>
      <c r="X13" s="15" t="n">
        <f aca="false">IF(C13="New",COUNTIFS($C$5:C13,"New"),"")</f>
        <v>9</v>
      </c>
      <c r="Y13" s="15" t="str">
        <f aca="false">IF(C13="Used",COUNTIFS($C$5:C13,"Used"),"")</f>
        <v/>
      </c>
    </row>
    <row r="14" customFormat="false" ht="15" hidden="false" customHeight="false" outlineLevel="0" collapsed="false">
      <c r="A14" s="11" t="s">
        <v>111</v>
      </c>
      <c r="B14" s="11" t="s">
        <v>61</v>
      </c>
      <c r="C14" s="11" t="s">
        <v>62</v>
      </c>
      <c r="D14" s="11" t="s">
        <v>63</v>
      </c>
      <c r="E14" s="11" t="s">
        <v>112</v>
      </c>
      <c r="F14" s="11" t="n">
        <v>2026</v>
      </c>
      <c r="G14" s="11" t="s">
        <v>77</v>
      </c>
      <c r="H14" s="11" t="s">
        <v>113</v>
      </c>
      <c r="I14" s="11" t="s">
        <v>114</v>
      </c>
      <c r="J14" s="11" t="s">
        <v>115</v>
      </c>
      <c r="K14" s="12" t="n">
        <v>46176</v>
      </c>
      <c r="L14" s="13" t="n">
        <v>1580</v>
      </c>
      <c r="M14" s="13" t="n">
        <v>0</v>
      </c>
      <c r="N14" s="14" t="n">
        <f aca="false">L14+M14</f>
        <v>1580</v>
      </c>
      <c r="O14" s="11" t="s">
        <v>69</v>
      </c>
      <c r="P14" s="11"/>
      <c r="Q14" s="13" t="n">
        <v>1900</v>
      </c>
      <c r="R14" s="12" t="n">
        <v>46212</v>
      </c>
      <c r="S14" s="13" t="n">
        <v>1900</v>
      </c>
      <c r="T14" s="15" t="n">
        <f aca="true">IF(B14="Sold",R14-K14,TODAY()-K14)</f>
        <v>36</v>
      </c>
      <c r="U14" s="14" t="n">
        <f aca="false">IF(B14="Sold",S14-N14,"")</f>
        <v>320</v>
      </c>
      <c r="V14" s="16" t="n">
        <f aca="false">IF(B14="Sold",IFERROR(U14/S14,0),"")</f>
        <v>0.168421052631579</v>
      </c>
      <c r="W14" s="17" t="n">
        <f aca="false">IF(B14="Sold",DATE(YEAR(R14),MONTH(R14),1),"")</f>
        <v>46204</v>
      </c>
      <c r="X14" s="15" t="n">
        <f aca="false">IF(C14="New",COUNTIFS($C$5:C14,"New"),"")</f>
        <v>10</v>
      </c>
      <c r="Y14" s="15" t="str">
        <f aca="false">IF(C14="Used",COUNTIFS($C$5:C14,"Used"),"")</f>
        <v/>
      </c>
    </row>
    <row r="15" customFormat="false" ht="15" hidden="false" customHeight="false" outlineLevel="0" collapsed="false">
      <c r="A15" s="11" t="s">
        <v>116</v>
      </c>
      <c r="B15" s="11" t="s">
        <v>61</v>
      </c>
      <c r="C15" s="11" t="s">
        <v>117</v>
      </c>
      <c r="D15" s="11" t="s">
        <v>63</v>
      </c>
      <c r="E15" s="11" t="s">
        <v>64</v>
      </c>
      <c r="F15" s="11" t="n">
        <v>2021</v>
      </c>
      <c r="G15" s="11" t="s">
        <v>65</v>
      </c>
      <c r="H15" s="11" t="s">
        <v>118</v>
      </c>
      <c r="I15" s="11" t="s">
        <v>119</v>
      </c>
      <c r="J15" s="11" t="s">
        <v>120</v>
      </c>
      <c r="K15" s="12" t="n">
        <v>46178</v>
      </c>
      <c r="L15" s="13" t="n">
        <v>1150</v>
      </c>
      <c r="M15" s="13" t="n">
        <v>120</v>
      </c>
      <c r="N15" s="14" t="n">
        <f aca="false">L15+M15</f>
        <v>1270</v>
      </c>
      <c r="O15" s="11" t="s">
        <v>69</v>
      </c>
      <c r="P15" s="11" t="s">
        <v>121</v>
      </c>
      <c r="Q15" s="13" t="n">
        <v>1500</v>
      </c>
      <c r="R15" s="12" t="n">
        <v>46218</v>
      </c>
      <c r="S15" s="13" t="n">
        <v>1450</v>
      </c>
      <c r="T15" s="15" t="n">
        <f aca="true">IF(B15="Sold",R15-K15,TODAY()-K15)</f>
        <v>40</v>
      </c>
      <c r="U15" s="14" t="n">
        <f aca="false">IF(B15="Sold",S15-N15,"")</f>
        <v>180</v>
      </c>
      <c r="V15" s="16" t="n">
        <f aca="false">IF(B15="Sold",IFERROR(U15/S15,0),"")</f>
        <v>0.124137931034483</v>
      </c>
      <c r="W15" s="17" t="n">
        <f aca="false">IF(B15="Sold",DATE(YEAR(R15),MONTH(R15),1),"")</f>
        <v>46204</v>
      </c>
      <c r="X15" s="15" t="str">
        <f aca="false">IF(C15="New",COUNTIFS($C$5:C15,"New"),"")</f>
        <v/>
      </c>
      <c r="Y15" s="15" t="n">
        <f aca="false">IF(C15="Used",COUNTIFS($C$5:C15,"Used"),"")</f>
        <v>1</v>
      </c>
    </row>
    <row r="16" customFormat="false" ht="15" hidden="false" customHeight="false" outlineLevel="0" collapsed="false">
      <c r="A16" s="11" t="s">
        <v>122</v>
      </c>
      <c r="B16" s="11" t="s">
        <v>61</v>
      </c>
      <c r="C16" s="11" t="s">
        <v>117</v>
      </c>
      <c r="D16" s="11" t="s">
        <v>63</v>
      </c>
      <c r="E16" s="11" t="s">
        <v>64</v>
      </c>
      <c r="F16" s="11" t="n">
        <v>2021</v>
      </c>
      <c r="G16" s="11" t="s">
        <v>77</v>
      </c>
      <c r="H16" s="11" t="s">
        <v>123</v>
      </c>
      <c r="I16" s="11" t="s">
        <v>124</v>
      </c>
      <c r="J16" s="11" t="s">
        <v>125</v>
      </c>
      <c r="K16" s="12" t="n">
        <v>46181</v>
      </c>
      <c r="L16" s="13" t="n">
        <v>1150</v>
      </c>
      <c r="M16" s="13" t="n">
        <v>150</v>
      </c>
      <c r="N16" s="14" t="n">
        <f aca="false">L16+M16</f>
        <v>1300</v>
      </c>
      <c r="O16" s="11" t="s">
        <v>69</v>
      </c>
      <c r="P16" s="11" t="s">
        <v>126</v>
      </c>
      <c r="Q16" s="13" t="n">
        <v>1550</v>
      </c>
      <c r="R16" s="12" t="n">
        <v>46218</v>
      </c>
      <c r="S16" s="13" t="n">
        <v>1500</v>
      </c>
      <c r="T16" s="15" t="n">
        <f aca="true">IF(B16="Sold",R16-K16,TODAY()-K16)</f>
        <v>37</v>
      </c>
      <c r="U16" s="14" t="n">
        <f aca="false">IF(B16="Sold",S16-N16,"")</f>
        <v>200</v>
      </c>
      <c r="V16" s="16" t="n">
        <f aca="false">IF(B16="Sold",IFERROR(U16/S16,0),"")</f>
        <v>0.133333333333333</v>
      </c>
      <c r="W16" s="17" t="n">
        <f aca="false">IF(B16="Sold",DATE(YEAR(R16),MONTH(R16),1),"")</f>
        <v>46204</v>
      </c>
      <c r="X16" s="15" t="str">
        <f aca="false">IF(C16="New",COUNTIFS($C$5:C16,"New"),"")</f>
        <v/>
      </c>
      <c r="Y16" s="15" t="n">
        <f aca="false">IF(C16="Used",COUNTIFS($C$5:C16,"Used"),"")</f>
        <v>2</v>
      </c>
    </row>
    <row r="17" customFormat="false" ht="15" hidden="false" customHeight="false" outlineLevel="0" collapsed="false">
      <c r="A17" s="11" t="s">
        <v>127</v>
      </c>
      <c r="B17" s="11" t="s">
        <v>61</v>
      </c>
      <c r="C17" s="11" t="s">
        <v>117</v>
      </c>
      <c r="D17" s="11" t="s">
        <v>63</v>
      </c>
      <c r="E17" s="11" t="s">
        <v>64</v>
      </c>
      <c r="F17" s="11" t="n">
        <v>2020</v>
      </c>
      <c r="G17" s="11" t="s">
        <v>72</v>
      </c>
      <c r="H17" s="11" t="s">
        <v>128</v>
      </c>
      <c r="I17" s="11" t="s">
        <v>129</v>
      </c>
      <c r="J17" s="11" t="s">
        <v>130</v>
      </c>
      <c r="K17" s="12" t="n">
        <v>46183</v>
      </c>
      <c r="L17" s="13" t="n">
        <v>1050</v>
      </c>
      <c r="M17" s="13" t="n">
        <v>200</v>
      </c>
      <c r="N17" s="14" t="n">
        <f aca="false">L17+M17</f>
        <v>1250</v>
      </c>
      <c r="O17" s="11" t="s">
        <v>131</v>
      </c>
      <c r="P17" s="11" t="s">
        <v>132</v>
      </c>
      <c r="Q17" s="13" t="n">
        <v>1450</v>
      </c>
      <c r="R17" s="12" t="n">
        <v>46218</v>
      </c>
      <c r="S17" s="13" t="n">
        <v>1400</v>
      </c>
      <c r="T17" s="15" t="n">
        <f aca="true">IF(B17="Sold",R17-K17,TODAY()-K17)</f>
        <v>35</v>
      </c>
      <c r="U17" s="14" t="n">
        <f aca="false">IF(B17="Sold",S17-N17,"")</f>
        <v>150</v>
      </c>
      <c r="V17" s="16" t="n">
        <f aca="false">IF(B17="Sold",IFERROR(U17/S17,0),"")</f>
        <v>0.107142857142857</v>
      </c>
      <c r="W17" s="17" t="n">
        <f aca="false">IF(B17="Sold",DATE(YEAR(R17),MONTH(R17),1),"")</f>
        <v>46204</v>
      </c>
      <c r="X17" s="15" t="str">
        <f aca="false">IF(C17="New",COUNTIFS($C$5:C17,"New"),"")</f>
        <v/>
      </c>
      <c r="Y17" s="15" t="n">
        <f aca="false">IF(C17="Used",COUNTIFS($C$5:C17,"Used"),"")</f>
        <v>3</v>
      </c>
    </row>
    <row r="18" customFormat="false" ht="15" hidden="false" customHeight="false" outlineLevel="0" collapsed="false">
      <c r="A18" s="11" t="s">
        <v>133</v>
      </c>
      <c r="B18" s="11" t="s">
        <v>61</v>
      </c>
      <c r="C18" s="11" t="s">
        <v>62</v>
      </c>
      <c r="D18" s="11" t="s">
        <v>134</v>
      </c>
      <c r="E18" s="11" t="s">
        <v>135</v>
      </c>
      <c r="F18" s="11" t="n">
        <v>2026</v>
      </c>
      <c r="G18" s="11" t="s">
        <v>136</v>
      </c>
      <c r="H18" s="11" t="s">
        <v>137</v>
      </c>
      <c r="I18" s="11" t="s">
        <v>138</v>
      </c>
      <c r="J18" s="11" t="s">
        <v>139</v>
      </c>
      <c r="K18" s="12" t="n">
        <v>46185</v>
      </c>
      <c r="L18" s="13" t="n">
        <v>3050</v>
      </c>
      <c r="M18" s="13" t="n">
        <v>0</v>
      </c>
      <c r="N18" s="14" t="n">
        <f aca="false">L18+M18</f>
        <v>3050</v>
      </c>
      <c r="O18" s="11" t="s">
        <v>69</v>
      </c>
      <c r="P18" s="11"/>
      <c r="Q18" s="13" t="n">
        <v>3600</v>
      </c>
      <c r="R18" s="12" t="n">
        <v>46225</v>
      </c>
      <c r="S18" s="13" t="n">
        <v>3600</v>
      </c>
      <c r="T18" s="15" t="n">
        <f aca="true">IF(B18="Sold",R18-K18,TODAY()-K18)</f>
        <v>40</v>
      </c>
      <c r="U18" s="14" t="n">
        <f aca="false">IF(B18="Sold",S18-N18,"")</f>
        <v>550</v>
      </c>
      <c r="V18" s="16" t="n">
        <f aca="false">IF(B18="Sold",IFERROR(U18/S18,0),"")</f>
        <v>0.152777777777778</v>
      </c>
      <c r="W18" s="17" t="n">
        <f aca="false">IF(B18="Sold",DATE(YEAR(R18),MONTH(R18),1),"")</f>
        <v>46204</v>
      </c>
      <c r="X18" s="15" t="n">
        <f aca="false">IF(C18="New",COUNTIFS($C$5:C18,"New"),"")</f>
        <v>11</v>
      </c>
      <c r="Y18" s="15" t="str">
        <f aca="false">IF(C18="Used",COUNTIFS($C$5:C18,"Used"),"")</f>
        <v/>
      </c>
    </row>
    <row r="19" customFormat="false" ht="15" hidden="false" customHeight="false" outlineLevel="0" collapsed="false">
      <c r="A19" s="11" t="s">
        <v>140</v>
      </c>
      <c r="B19" s="11" t="s">
        <v>61</v>
      </c>
      <c r="C19" s="11" t="s">
        <v>117</v>
      </c>
      <c r="D19" s="11" t="s">
        <v>63</v>
      </c>
      <c r="E19" s="11" t="s">
        <v>71</v>
      </c>
      <c r="F19" s="11" t="n">
        <v>2020</v>
      </c>
      <c r="G19" s="11" t="s">
        <v>65</v>
      </c>
      <c r="H19" s="11" t="s">
        <v>141</v>
      </c>
      <c r="I19" s="11" t="s">
        <v>142</v>
      </c>
      <c r="J19" s="11" t="s">
        <v>143</v>
      </c>
      <c r="K19" s="12" t="n">
        <v>46188</v>
      </c>
      <c r="L19" s="13" t="n">
        <v>920</v>
      </c>
      <c r="M19" s="13" t="n">
        <v>80</v>
      </c>
      <c r="N19" s="14" t="n">
        <f aca="false">L19+M19</f>
        <v>1000</v>
      </c>
      <c r="O19" s="11" t="s">
        <v>69</v>
      </c>
      <c r="P19" s="11" t="s">
        <v>144</v>
      </c>
      <c r="Q19" s="13" t="n">
        <v>1250</v>
      </c>
      <c r="R19" s="12" t="n">
        <v>46231</v>
      </c>
      <c r="S19" s="13" t="n">
        <v>1250</v>
      </c>
      <c r="T19" s="15" t="n">
        <f aca="true">IF(B19="Sold",R19-K19,TODAY()-K19)</f>
        <v>43</v>
      </c>
      <c r="U19" s="14" t="n">
        <f aca="false">IF(B19="Sold",S19-N19,"")</f>
        <v>250</v>
      </c>
      <c r="V19" s="16" t="n">
        <f aca="false">IF(B19="Sold",IFERROR(U19/S19,0),"")</f>
        <v>0.2</v>
      </c>
      <c r="W19" s="17" t="n">
        <f aca="false">IF(B19="Sold",DATE(YEAR(R19),MONTH(R19),1),"")</f>
        <v>46204</v>
      </c>
      <c r="X19" s="15" t="str">
        <f aca="false">IF(C19="New",COUNTIFS($C$5:C19,"New"),"")</f>
        <v/>
      </c>
      <c r="Y19" s="15" t="n">
        <f aca="false">IF(C19="Used",COUNTIFS($C$5:C19,"Used"),"")</f>
        <v>4</v>
      </c>
    </row>
    <row r="20" customFormat="false" ht="15" hidden="false" customHeight="false" outlineLevel="0" collapsed="false">
      <c r="A20" s="11" t="s">
        <v>145</v>
      </c>
      <c r="B20" s="11" t="s">
        <v>61</v>
      </c>
      <c r="C20" s="11" t="s">
        <v>117</v>
      </c>
      <c r="D20" s="11" t="s">
        <v>63</v>
      </c>
      <c r="E20" s="11" t="s">
        <v>71</v>
      </c>
      <c r="F20" s="11" t="n">
        <v>2019</v>
      </c>
      <c r="G20" s="11" t="s">
        <v>77</v>
      </c>
      <c r="H20" s="11" t="s">
        <v>146</v>
      </c>
      <c r="I20" s="11" t="s">
        <v>147</v>
      </c>
      <c r="J20" s="11" t="s">
        <v>148</v>
      </c>
      <c r="K20" s="12" t="n">
        <v>46191</v>
      </c>
      <c r="L20" s="13" t="n">
        <v>920</v>
      </c>
      <c r="M20" s="13" t="n">
        <v>110</v>
      </c>
      <c r="N20" s="14" t="n">
        <f aca="false">L20+M20</f>
        <v>1030</v>
      </c>
      <c r="O20" s="11" t="s">
        <v>149</v>
      </c>
      <c r="P20" s="11" t="s">
        <v>150</v>
      </c>
      <c r="Q20" s="13" t="n">
        <v>1200</v>
      </c>
      <c r="R20" s="12" t="n">
        <v>46231</v>
      </c>
      <c r="S20" s="13" t="n">
        <v>1150</v>
      </c>
      <c r="T20" s="15" t="n">
        <f aca="true">IF(B20="Sold",R20-K20,TODAY()-K20)</f>
        <v>40</v>
      </c>
      <c r="U20" s="14" t="n">
        <f aca="false">IF(B20="Sold",S20-N20,"")</f>
        <v>120</v>
      </c>
      <c r="V20" s="16" t="n">
        <f aca="false">IF(B20="Sold",IFERROR(U20/S20,0),"")</f>
        <v>0.104347826086957</v>
      </c>
      <c r="W20" s="17" t="n">
        <f aca="false">IF(B20="Sold",DATE(YEAR(R20),MONTH(R20),1),"")</f>
        <v>46204</v>
      </c>
      <c r="X20" s="15" t="str">
        <f aca="false">IF(C20="New",COUNTIFS($C$5:C20,"New"),"")</f>
        <v/>
      </c>
      <c r="Y20" s="15" t="n">
        <f aca="false">IF(C20="Used",COUNTIFS($C$5:C20,"Used"),"")</f>
        <v>5</v>
      </c>
    </row>
    <row r="21" customFormat="false" ht="15" hidden="false" customHeight="false" outlineLevel="0" collapsed="false">
      <c r="A21" s="11" t="s">
        <v>151</v>
      </c>
      <c r="B21" s="11" t="s">
        <v>61</v>
      </c>
      <c r="C21" s="11" t="s">
        <v>62</v>
      </c>
      <c r="D21" s="11" t="s">
        <v>63</v>
      </c>
      <c r="E21" s="11" t="s">
        <v>152</v>
      </c>
      <c r="F21" s="11" t="n">
        <v>2026</v>
      </c>
      <c r="G21" s="11" t="s">
        <v>153</v>
      </c>
      <c r="H21" s="11" t="s">
        <v>154</v>
      </c>
      <c r="I21" s="11" t="s">
        <v>155</v>
      </c>
      <c r="J21" s="11" t="s">
        <v>156</v>
      </c>
      <c r="K21" s="12" t="n">
        <v>46204</v>
      </c>
      <c r="L21" s="13" t="n">
        <v>2050</v>
      </c>
      <c r="M21" s="13" t="n">
        <v>0</v>
      </c>
      <c r="N21" s="14" t="n">
        <f aca="false">L21+M21</f>
        <v>2050</v>
      </c>
      <c r="O21" s="11" t="s">
        <v>69</v>
      </c>
      <c r="P21" s="11"/>
      <c r="Q21" s="13" t="n">
        <v>2450</v>
      </c>
      <c r="R21" s="12" t="n">
        <v>46238</v>
      </c>
      <c r="S21" s="13" t="n">
        <v>2450</v>
      </c>
      <c r="T21" s="15" t="n">
        <f aca="true">IF(B21="Sold",R21-K21,TODAY()-K21)</f>
        <v>34</v>
      </c>
      <c r="U21" s="14" t="n">
        <f aca="false">IF(B21="Sold",S21-N21,"")</f>
        <v>400</v>
      </c>
      <c r="V21" s="16" t="n">
        <f aca="false">IF(B21="Sold",IFERROR(U21/S21,0),"")</f>
        <v>0.163265306122449</v>
      </c>
      <c r="W21" s="17" t="n">
        <f aca="false">IF(B21="Sold",DATE(YEAR(R21),MONTH(R21),1),"")</f>
        <v>46235</v>
      </c>
      <c r="X21" s="15" t="n">
        <f aca="false">IF(C21="New",COUNTIFS($C$5:C21,"New"),"")</f>
        <v>12</v>
      </c>
      <c r="Y21" s="15" t="str">
        <f aca="false">IF(C21="Used",COUNTIFS($C$5:C21,"Used"),"")</f>
        <v/>
      </c>
    </row>
    <row r="22" customFormat="false" ht="15" hidden="false" customHeight="false" outlineLevel="0" collapsed="false">
      <c r="A22" s="11" t="s">
        <v>157</v>
      </c>
      <c r="B22" s="11" t="s">
        <v>61</v>
      </c>
      <c r="C22" s="11" t="s">
        <v>62</v>
      </c>
      <c r="D22" s="11" t="s">
        <v>63</v>
      </c>
      <c r="E22" s="11" t="s">
        <v>86</v>
      </c>
      <c r="F22" s="11" t="n">
        <v>2026</v>
      </c>
      <c r="G22" s="11" t="s">
        <v>65</v>
      </c>
      <c r="H22" s="11" t="s">
        <v>158</v>
      </c>
      <c r="I22" s="11" t="s">
        <v>159</v>
      </c>
      <c r="J22" s="11" t="s">
        <v>160</v>
      </c>
      <c r="K22" s="12" t="n">
        <v>46206</v>
      </c>
      <c r="L22" s="13" t="n">
        <v>1750</v>
      </c>
      <c r="M22" s="13" t="n">
        <v>0</v>
      </c>
      <c r="N22" s="14" t="n">
        <f aca="false">L22+M22</f>
        <v>1750</v>
      </c>
      <c r="O22" s="11" t="s">
        <v>69</v>
      </c>
      <c r="P22" s="11"/>
      <c r="Q22" s="13" t="n">
        <v>2100</v>
      </c>
      <c r="R22" s="12" t="n">
        <v>46245</v>
      </c>
      <c r="S22" s="13" t="n">
        <v>2100</v>
      </c>
      <c r="T22" s="15" t="n">
        <f aca="true">IF(B22="Sold",R22-K22,TODAY()-K22)</f>
        <v>39</v>
      </c>
      <c r="U22" s="14" t="n">
        <f aca="false">IF(B22="Sold",S22-N22,"")</f>
        <v>350</v>
      </c>
      <c r="V22" s="16" t="n">
        <f aca="false">IF(B22="Sold",IFERROR(U22/S22,0),"")</f>
        <v>0.166666666666667</v>
      </c>
      <c r="W22" s="17" t="n">
        <f aca="false">IF(B22="Sold",DATE(YEAR(R22),MONTH(R22),1),"")</f>
        <v>46235</v>
      </c>
      <c r="X22" s="15" t="n">
        <f aca="false">IF(C22="New",COUNTIFS($C$5:C22,"New"),"")</f>
        <v>13</v>
      </c>
      <c r="Y22" s="15" t="str">
        <f aca="false">IF(C22="Used",COUNTIFS($C$5:C22,"Used"),"")</f>
        <v/>
      </c>
    </row>
    <row r="23" customFormat="false" ht="15" hidden="false" customHeight="false" outlineLevel="0" collapsed="false">
      <c r="A23" s="11" t="s">
        <v>161</v>
      </c>
      <c r="B23" s="11" t="s">
        <v>61</v>
      </c>
      <c r="C23" s="11" t="s">
        <v>62</v>
      </c>
      <c r="D23" s="11" t="s">
        <v>63</v>
      </c>
      <c r="E23" s="11" t="s">
        <v>86</v>
      </c>
      <c r="F23" s="11" t="n">
        <v>2026</v>
      </c>
      <c r="G23" s="11" t="s">
        <v>72</v>
      </c>
      <c r="H23" s="11" t="s">
        <v>162</v>
      </c>
      <c r="I23" s="11" t="s">
        <v>163</v>
      </c>
      <c r="J23" s="11" t="s">
        <v>164</v>
      </c>
      <c r="K23" s="12" t="n">
        <v>46206</v>
      </c>
      <c r="L23" s="13" t="n">
        <v>1750</v>
      </c>
      <c r="M23" s="13" t="n">
        <v>0</v>
      </c>
      <c r="N23" s="14" t="n">
        <f aca="false">L23+M23</f>
        <v>1750</v>
      </c>
      <c r="O23" s="11" t="s">
        <v>69</v>
      </c>
      <c r="P23" s="11"/>
      <c r="Q23" s="13" t="n">
        <v>2100</v>
      </c>
      <c r="R23" s="12" t="n">
        <v>46245</v>
      </c>
      <c r="S23" s="13" t="n">
        <v>2100</v>
      </c>
      <c r="T23" s="15" t="n">
        <f aca="true">IF(B23="Sold",R23-K23,TODAY()-K23)</f>
        <v>39</v>
      </c>
      <c r="U23" s="14" t="n">
        <f aca="false">IF(B23="Sold",S23-N23,"")</f>
        <v>350</v>
      </c>
      <c r="V23" s="16" t="n">
        <f aca="false">IF(B23="Sold",IFERROR(U23/S23,0),"")</f>
        <v>0.166666666666667</v>
      </c>
      <c r="W23" s="17" t="n">
        <f aca="false">IF(B23="Sold",DATE(YEAR(R23),MONTH(R23),1),"")</f>
        <v>46235</v>
      </c>
      <c r="X23" s="15" t="n">
        <f aca="false">IF(C23="New",COUNTIFS($C$5:C23,"New"),"")</f>
        <v>14</v>
      </c>
      <c r="Y23" s="15" t="str">
        <f aca="false">IF(C23="Used",COUNTIFS($C$5:C23,"Used"),"")</f>
        <v/>
      </c>
    </row>
    <row r="24" customFormat="false" ht="15" hidden="false" customHeight="false" outlineLevel="0" collapsed="false">
      <c r="A24" s="11" t="s">
        <v>165</v>
      </c>
      <c r="B24" s="11" t="s">
        <v>61</v>
      </c>
      <c r="C24" s="11" t="s">
        <v>62</v>
      </c>
      <c r="D24" s="11" t="s">
        <v>63</v>
      </c>
      <c r="E24" s="11" t="s">
        <v>166</v>
      </c>
      <c r="F24" s="11" t="n">
        <v>2026</v>
      </c>
      <c r="G24" s="11" t="s">
        <v>87</v>
      </c>
      <c r="H24" s="11" t="s">
        <v>167</v>
      </c>
      <c r="I24" s="11" t="s">
        <v>168</v>
      </c>
      <c r="J24" s="11" t="s">
        <v>169</v>
      </c>
      <c r="K24" s="12" t="n">
        <v>46208</v>
      </c>
      <c r="L24" s="13" t="n">
        <v>1850</v>
      </c>
      <c r="M24" s="13" t="n">
        <v>0</v>
      </c>
      <c r="N24" s="14" t="n">
        <f aca="false">L24+M24</f>
        <v>1850</v>
      </c>
      <c r="O24" s="11" t="s">
        <v>69</v>
      </c>
      <c r="P24" s="11"/>
      <c r="Q24" s="13" t="n">
        <v>2200</v>
      </c>
      <c r="R24" s="12" t="n">
        <v>46252</v>
      </c>
      <c r="S24" s="13" t="n">
        <v>2200</v>
      </c>
      <c r="T24" s="15" t="n">
        <f aca="true">IF(B24="Sold",R24-K24,TODAY()-K24)</f>
        <v>44</v>
      </c>
      <c r="U24" s="14" t="n">
        <f aca="false">IF(B24="Sold",S24-N24,"")</f>
        <v>350</v>
      </c>
      <c r="V24" s="16" t="n">
        <f aca="false">IF(B24="Sold",IFERROR(U24/S24,0),"")</f>
        <v>0.159090909090909</v>
      </c>
      <c r="W24" s="17" t="n">
        <f aca="false">IF(B24="Sold",DATE(YEAR(R24),MONTH(R24),1),"")</f>
        <v>46235</v>
      </c>
      <c r="X24" s="15" t="n">
        <f aca="false">IF(C24="New",COUNTIFS($C$5:C24,"New"),"")</f>
        <v>15</v>
      </c>
      <c r="Y24" s="15" t="str">
        <f aca="false">IF(C24="Used",COUNTIFS($C$5:C24,"Used"),"")</f>
        <v/>
      </c>
    </row>
    <row r="25" customFormat="false" ht="15" hidden="false" customHeight="false" outlineLevel="0" collapsed="false">
      <c r="A25" s="11" t="s">
        <v>170</v>
      </c>
      <c r="B25" s="11" t="s">
        <v>61</v>
      </c>
      <c r="C25" s="11" t="s">
        <v>62</v>
      </c>
      <c r="D25" s="11" t="s">
        <v>171</v>
      </c>
      <c r="E25" s="11" t="s">
        <v>172</v>
      </c>
      <c r="F25" s="11" t="n">
        <v>2026</v>
      </c>
      <c r="G25" s="11" t="s">
        <v>72</v>
      </c>
      <c r="H25" s="11" t="s">
        <v>173</v>
      </c>
      <c r="I25" s="11" t="s">
        <v>174</v>
      </c>
      <c r="J25" s="11" t="s">
        <v>175</v>
      </c>
      <c r="K25" s="12" t="n">
        <v>46213</v>
      </c>
      <c r="L25" s="13" t="n">
        <v>3350</v>
      </c>
      <c r="M25" s="13" t="n">
        <v>0</v>
      </c>
      <c r="N25" s="14" t="n">
        <f aca="false">L25+M25</f>
        <v>3350</v>
      </c>
      <c r="O25" s="11" t="s">
        <v>69</v>
      </c>
      <c r="P25" s="11"/>
      <c r="Q25" s="13" t="n">
        <v>4000</v>
      </c>
      <c r="R25" s="12" t="n">
        <v>46258</v>
      </c>
      <c r="S25" s="13" t="n">
        <v>4000</v>
      </c>
      <c r="T25" s="15" t="n">
        <f aca="true">IF(B25="Sold",R25-K25,TODAY()-K25)</f>
        <v>45</v>
      </c>
      <c r="U25" s="14" t="n">
        <f aca="false">IF(B25="Sold",S25-N25,"")</f>
        <v>650</v>
      </c>
      <c r="V25" s="16" t="n">
        <f aca="false">IF(B25="Sold",IFERROR(U25/S25,0),"")</f>
        <v>0.1625</v>
      </c>
      <c r="W25" s="17" t="n">
        <f aca="false">IF(B25="Sold",DATE(YEAR(R25),MONTH(R25),1),"")</f>
        <v>46235</v>
      </c>
      <c r="X25" s="15" t="n">
        <f aca="false">IF(C25="New",COUNTIFS($C$5:C25,"New"),"")</f>
        <v>16</v>
      </c>
      <c r="Y25" s="15" t="str">
        <f aca="false">IF(C25="Used",COUNTIFS($C$5:C25,"Used"),"")</f>
        <v/>
      </c>
    </row>
    <row r="26" customFormat="false" ht="15" hidden="false" customHeight="false" outlineLevel="0" collapsed="false">
      <c r="A26" s="11" t="s">
        <v>176</v>
      </c>
      <c r="B26" s="11" t="s">
        <v>177</v>
      </c>
      <c r="C26" s="11" t="s">
        <v>62</v>
      </c>
      <c r="D26" s="11" t="s">
        <v>63</v>
      </c>
      <c r="E26" s="11" t="s">
        <v>64</v>
      </c>
      <c r="F26" s="11" t="n">
        <v>2026</v>
      </c>
      <c r="G26" s="11" t="s">
        <v>65</v>
      </c>
      <c r="H26" s="11" t="s">
        <v>178</v>
      </c>
      <c r="I26" s="11" t="s">
        <v>179</v>
      </c>
      <c r="J26" s="11"/>
      <c r="K26" s="12" t="n">
        <v>46235</v>
      </c>
      <c r="L26" s="13" t="n">
        <v>1550</v>
      </c>
      <c r="M26" s="13" t="n">
        <v>0</v>
      </c>
      <c r="N26" s="14" t="n">
        <f aca="false">L26+M26</f>
        <v>1550</v>
      </c>
      <c r="O26" s="11" t="s">
        <v>69</v>
      </c>
      <c r="P26" s="11"/>
      <c r="Q26" s="13" t="n">
        <v>1850</v>
      </c>
      <c r="R26" s="12"/>
      <c r="S26" s="13"/>
      <c r="T26" s="15" t="n">
        <f aca="true">IF(B26="Sold",R26-K26,TODAY()-K26)</f>
        <v>27</v>
      </c>
      <c r="U26" s="14" t="str">
        <f aca="false">IF(B26="Sold",S26-N26,"")</f>
        <v/>
      </c>
      <c r="V26" s="16" t="str">
        <f aca="false">IF(B26="Sold",IFERROR(U26/S26,0),"")</f>
        <v/>
      </c>
      <c r="W26" s="17" t="str">
        <f aca="false">IF(B26="Sold",DATE(YEAR(R26),MONTH(R26),1),"")</f>
        <v/>
      </c>
      <c r="X26" s="15" t="n">
        <f aca="false">IF(C26="New",COUNTIFS($C$5:C26,"New"),"")</f>
        <v>17</v>
      </c>
      <c r="Y26" s="15" t="str">
        <f aca="false">IF(C26="Used",COUNTIFS($C$5:C26,"Used"),"")</f>
        <v/>
      </c>
    </row>
    <row r="27" customFormat="false" ht="15" hidden="false" customHeight="false" outlineLevel="0" collapsed="false">
      <c r="A27" s="11" t="s">
        <v>180</v>
      </c>
      <c r="B27" s="11" t="s">
        <v>177</v>
      </c>
      <c r="C27" s="11" t="s">
        <v>62</v>
      </c>
      <c r="D27" s="11" t="s">
        <v>63</v>
      </c>
      <c r="E27" s="11" t="s">
        <v>71</v>
      </c>
      <c r="F27" s="11" t="n">
        <v>2026</v>
      </c>
      <c r="G27" s="11" t="s">
        <v>72</v>
      </c>
      <c r="H27" s="11" t="s">
        <v>181</v>
      </c>
      <c r="I27" s="11" t="s">
        <v>182</v>
      </c>
      <c r="J27" s="11"/>
      <c r="K27" s="12" t="n">
        <v>46237</v>
      </c>
      <c r="L27" s="13" t="n">
        <v>1450</v>
      </c>
      <c r="M27" s="13" t="n">
        <v>0</v>
      </c>
      <c r="N27" s="14" t="n">
        <f aca="false">L27+M27</f>
        <v>1450</v>
      </c>
      <c r="O27" s="11" t="s">
        <v>69</v>
      </c>
      <c r="P27" s="11"/>
      <c r="Q27" s="13" t="n">
        <v>1750</v>
      </c>
      <c r="R27" s="12"/>
      <c r="S27" s="13"/>
      <c r="T27" s="15" t="n">
        <f aca="true">IF(B27="Sold",R27-K27,TODAY()-K27)</f>
        <v>25</v>
      </c>
      <c r="U27" s="14" t="str">
        <f aca="false">IF(B27="Sold",S27-N27,"")</f>
        <v/>
      </c>
      <c r="V27" s="16" t="str">
        <f aca="false">IF(B27="Sold",IFERROR(U27/S27,0),"")</f>
        <v/>
      </c>
      <c r="W27" s="17" t="str">
        <f aca="false">IF(B27="Sold",DATE(YEAR(R27),MONTH(R27),1),"")</f>
        <v/>
      </c>
      <c r="X27" s="15" t="n">
        <f aca="false">IF(C27="New",COUNTIFS($C$5:C27,"New"),"")</f>
        <v>18</v>
      </c>
      <c r="Y27" s="15" t="str">
        <f aca="false">IF(C27="Used",COUNTIFS($C$5:C27,"Used"),"")</f>
        <v/>
      </c>
    </row>
    <row r="28" customFormat="false" ht="15" hidden="false" customHeight="false" outlineLevel="0" collapsed="false">
      <c r="A28" s="11" t="s">
        <v>183</v>
      </c>
      <c r="B28" s="11" t="s">
        <v>177</v>
      </c>
      <c r="C28" s="11" t="s">
        <v>62</v>
      </c>
      <c r="D28" s="11" t="s">
        <v>63</v>
      </c>
      <c r="E28" s="11" t="s">
        <v>86</v>
      </c>
      <c r="F28" s="11" t="n">
        <v>2026</v>
      </c>
      <c r="G28" s="11" t="s">
        <v>87</v>
      </c>
      <c r="H28" s="11" t="s">
        <v>184</v>
      </c>
      <c r="I28" s="11" t="s">
        <v>185</v>
      </c>
      <c r="J28" s="11"/>
      <c r="K28" s="12" t="n">
        <v>46239</v>
      </c>
      <c r="L28" s="13" t="n">
        <v>1750</v>
      </c>
      <c r="M28" s="13" t="n">
        <v>0</v>
      </c>
      <c r="N28" s="14" t="n">
        <f aca="false">L28+M28</f>
        <v>1750</v>
      </c>
      <c r="O28" s="11" t="s">
        <v>69</v>
      </c>
      <c r="P28" s="11"/>
      <c r="Q28" s="13" t="n">
        <v>2100</v>
      </c>
      <c r="R28" s="12"/>
      <c r="S28" s="13"/>
      <c r="T28" s="15" t="n">
        <f aca="true">IF(B28="Sold",R28-K28,TODAY()-K28)</f>
        <v>23</v>
      </c>
      <c r="U28" s="14" t="str">
        <f aca="false">IF(B28="Sold",S28-N28,"")</f>
        <v/>
      </c>
      <c r="V28" s="16" t="str">
        <f aca="false">IF(B28="Sold",IFERROR(U28/S28,0),"")</f>
        <v/>
      </c>
      <c r="W28" s="17" t="str">
        <f aca="false">IF(B28="Sold",DATE(YEAR(R28),MONTH(R28),1),"")</f>
        <v/>
      </c>
      <c r="X28" s="15" t="n">
        <f aca="false">IF(C28="New",COUNTIFS($C$5:C28,"New"),"")</f>
        <v>19</v>
      </c>
      <c r="Y28" s="15" t="str">
        <f aca="false">IF(C28="Used",COUNTIFS($C$5:C28,"Used"),"")</f>
        <v/>
      </c>
    </row>
    <row r="29" customFormat="false" ht="15" hidden="false" customHeight="false" outlineLevel="0" collapsed="false">
      <c r="A29" s="11" t="s">
        <v>186</v>
      </c>
      <c r="B29" s="11" t="s">
        <v>177</v>
      </c>
      <c r="C29" s="11" t="s">
        <v>117</v>
      </c>
      <c r="D29" s="11" t="s">
        <v>63</v>
      </c>
      <c r="E29" s="11" t="s">
        <v>112</v>
      </c>
      <c r="F29" s="11" t="n">
        <v>2019</v>
      </c>
      <c r="G29" s="11" t="s">
        <v>93</v>
      </c>
      <c r="H29" s="11" t="s">
        <v>187</v>
      </c>
      <c r="I29" s="11" t="s">
        <v>188</v>
      </c>
      <c r="J29" s="11" t="s">
        <v>189</v>
      </c>
      <c r="K29" s="12" t="n">
        <v>46244</v>
      </c>
      <c r="L29" s="13" t="n">
        <v>1000</v>
      </c>
      <c r="M29" s="13" t="n">
        <v>180</v>
      </c>
      <c r="N29" s="14" t="n">
        <f aca="false">L29+M29</f>
        <v>1180</v>
      </c>
      <c r="O29" s="11" t="s">
        <v>131</v>
      </c>
      <c r="P29" s="11" t="s">
        <v>190</v>
      </c>
      <c r="Q29" s="13" t="n">
        <v>1350</v>
      </c>
      <c r="R29" s="12"/>
      <c r="S29" s="13"/>
      <c r="T29" s="15" t="n">
        <f aca="true">IF(B29="Sold",R29-K29,TODAY()-K29)</f>
        <v>18</v>
      </c>
      <c r="U29" s="14" t="str">
        <f aca="false">IF(B29="Sold",S29-N29,"")</f>
        <v/>
      </c>
      <c r="V29" s="16" t="str">
        <f aca="false">IF(B29="Sold",IFERROR(U29/S29,0),"")</f>
        <v/>
      </c>
      <c r="W29" s="17" t="str">
        <f aca="false">IF(B29="Sold",DATE(YEAR(R29),MONTH(R29),1),"")</f>
        <v/>
      </c>
      <c r="X29" s="15" t="str">
        <f aca="false">IF(C29="New",COUNTIFS($C$5:C29,"New"),"")</f>
        <v/>
      </c>
      <c r="Y29" s="15" t="n">
        <f aca="false">IF(C29="Used",COUNTIFS($C$5:C29,"Used"),"")</f>
        <v>6</v>
      </c>
    </row>
    <row r="30" customFormat="false" ht="15" hidden="false" customHeight="false" outlineLevel="0" collapsed="false">
      <c r="A30" s="11" t="s">
        <v>191</v>
      </c>
      <c r="B30" s="11" t="s">
        <v>177</v>
      </c>
      <c r="C30" s="11" t="s">
        <v>62</v>
      </c>
      <c r="D30" s="11" t="s">
        <v>63</v>
      </c>
      <c r="E30" s="11" t="s">
        <v>92</v>
      </c>
      <c r="F30" s="11" t="n">
        <v>2026</v>
      </c>
      <c r="G30" s="11" t="s">
        <v>87</v>
      </c>
      <c r="H30" s="11" t="s">
        <v>192</v>
      </c>
      <c r="I30" s="11" t="s">
        <v>193</v>
      </c>
      <c r="J30" s="11"/>
      <c r="K30" s="12" t="n">
        <v>46246</v>
      </c>
      <c r="L30" s="13" t="n">
        <v>1300</v>
      </c>
      <c r="M30" s="13" t="n">
        <v>0</v>
      </c>
      <c r="N30" s="14" t="n">
        <f aca="false">L30+M30</f>
        <v>1300</v>
      </c>
      <c r="O30" s="11" t="s">
        <v>69</v>
      </c>
      <c r="P30" s="11"/>
      <c r="Q30" s="13" t="n">
        <v>1600</v>
      </c>
      <c r="R30" s="12"/>
      <c r="S30" s="13"/>
      <c r="T30" s="15" t="n">
        <f aca="true">IF(B30="Sold",R30-K30,TODAY()-K30)</f>
        <v>16</v>
      </c>
      <c r="U30" s="14" t="str">
        <f aca="false">IF(B30="Sold",S30-N30,"")</f>
        <v/>
      </c>
      <c r="V30" s="16" t="str">
        <f aca="false">IF(B30="Sold",IFERROR(U30/S30,0),"")</f>
        <v/>
      </c>
      <c r="W30" s="17" t="str">
        <f aca="false">IF(B30="Sold",DATE(YEAR(R30),MONTH(R30),1),"")</f>
        <v/>
      </c>
      <c r="X30" s="15" t="n">
        <f aca="false">IF(C30="New",COUNTIFS($C$5:C30,"New"),"")</f>
        <v>20</v>
      </c>
      <c r="Y30" s="15" t="str">
        <f aca="false">IF(C30="Used",COUNTIFS($C$5:C30,"Used"),"")</f>
        <v/>
      </c>
    </row>
    <row r="31" customFormat="false" ht="15" hidden="false" customHeight="false" outlineLevel="0" collapsed="false">
      <c r="A31" s="11" t="s">
        <v>194</v>
      </c>
      <c r="B31" s="11" t="s">
        <v>177</v>
      </c>
      <c r="C31" s="11" t="s">
        <v>117</v>
      </c>
      <c r="D31" s="11" t="s">
        <v>63</v>
      </c>
      <c r="E31" s="11" t="s">
        <v>86</v>
      </c>
      <c r="F31" s="11" t="n">
        <v>2021</v>
      </c>
      <c r="G31" s="11" t="s">
        <v>77</v>
      </c>
      <c r="H31" s="11" t="s">
        <v>195</v>
      </c>
      <c r="I31" s="11" t="s">
        <v>196</v>
      </c>
      <c r="J31" s="11" t="s">
        <v>197</v>
      </c>
      <c r="K31" s="12" t="n">
        <v>46249</v>
      </c>
      <c r="L31" s="13" t="n">
        <v>1180</v>
      </c>
      <c r="M31" s="13" t="n">
        <v>90</v>
      </c>
      <c r="N31" s="14" t="n">
        <f aca="false">L31+M31</f>
        <v>1270</v>
      </c>
      <c r="O31" s="11" t="s">
        <v>149</v>
      </c>
      <c r="P31" s="11" t="s">
        <v>198</v>
      </c>
      <c r="Q31" s="13" t="n">
        <v>1550</v>
      </c>
      <c r="R31" s="12"/>
      <c r="S31" s="13"/>
      <c r="T31" s="15" t="n">
        <f aca="true">IF(B31="Sold",R31-K31,TODAY()-K31)</f>
        <v>13</v>
      </c>
      <c r="U31" s="14" t="str">
        <f aca="false">IF(B31="Sold",S31-N31,"")</f>
        <v/>
      </c>
      <c r="V31" s="16" t="str">
        <f aca="false">IF(B31="Sold",IFERROR(U31/S31,0),"")</f>
        <v/>
      </c>
      <c r="W31" s="17" t="str">
        <f aca="false">IF(B31="Sold",DATE(YEAR(R31),MONTH(R31),1),"")</f>
        <v/>
      </c>
      <c r="X31" s="15" t="str">
        <f aca="false">IF(C31="New",COUNTIFS($C$5:C31,"New"),"")</f>
        <v/>
      </c>
      <c r="Y31" s="15" t="n">
        <f aca="false">IF(C31="Used",COUNTIFS($C$5:C31,"Used"),"")</f>
        <v>7</v>
      </c>
    </row>
    <row r="32" customFormat="false" ht="15" hidden="false" customHeight="false" outlineLevel="0" collapsed="false">
      <c r="A32" s="11" t="s">
        <v>199</v>
      </c>
      <c r="B32" s="11" t="s">
        <v>177</v>
      </c>
      <c r="C32" s="11" t="s">
        <v>62</v>
      </c>
      <c r="D32" s="11" t="s">
        <v>63</v>
      </c>
      <c r="E32" s="11" t="s">
        <v>152</v>
      </c>
      <c r="F32" s="11" t="n">
        <v>2026</v>
      </c>
      <c r="G32" s="11" t="s">
        <v>87</v>
      </c>
      <c r="H32" s="11" t="s">
        <v>200</v>
      </c>
      <c r="I32" s="11" t="s">
        <v>201</v>
      </c>
      <c r="J32" s="11"/>
      <c r="K32" s="12" t="n">
        <v>46252</v>
      </c>
      <c r="L32" s="13" t="n">
        <v>2050</v>
      </c>
      <c r="M32" s="13" t="n">
        <v>0</v>
      </c>
      <c r="N32" s="14" t="n">
        <f aca="false">L32+M32</f>
        <v>2050</v>
      </c>
      <c r="O32" s="11" t="s">
        <v>69</v>
      </c>
      <c r="P32" s="11"/>
      <c r="Q32" s="13" t="n">
        <v>2450</v>
      </c>
      <c r="R32" s="12"/>
      <c r="S32" s="13"/>
      <c r="T32" s="15" t="n">
        <f aca="true">IF(B32="Sold",R32-K32,TODAY()-K32)</f>
        <v>10</v>
      </c>
      <c r="U32" s="14" t="str">
        <f aca="false">IF(B32="Sold",S32-N32,"")</f>
        <v/>
      </c>
      <c r="V32" s="16" t="str">
        <f aca="false">IF(B32="Sold",IFERROR(U32/S32,0),"")</f>
        <v/>
      </c>
      <c r="W32" s="17" t="str">
        <f aca="false">IF(B32="Sold",DATE(YEAR(R32),MONTH(R32),1),"")</f>
        <v/>
      </c>
      <c r="X32" s="15" t="n">
        <f aca="false">IF(C32="New",COUNTIFS($C$5:C32,"New"),"")</f>
        <v>21</v>
      </c>
      <c r="Y32" s="15" t="str">
        <f aca="false">IF(C32="Used",COUNTIFS($C$5:C32,"Used"),"")</f>
        <v/>
      </c>
    </row>
    <row r="33" customFormat="false" ht="15" hidden="false" customHeight="false" outlineLevel="0" collapsed="false">
      <c r="A33" s="11" t="s">
        <v>202</v>
      </c>
      <c r="B33" s="11" t="s">
        <v>203</v>
      </c>
      <c r="C33" s="11" t="s">
        <v>62</v>
      </c>
      <c r="D33" s="11" t="s">
        <v>63</v>
      </c>
      <c r="E33" s="11" t="s">
        <v>166</v>
      </c>
      <c r="F33" s="11" t="n">
        <v>2026</v>
      </c>
      <c r="G33" s="11" t="s">
        <v>72</v>
      </c>
      <c r="H33" s="11" t="s">
        <v>204</v>
      </c>
      <c r="I33" s="11" t="s">
        <v>205</v>
      </c>
      <c r="J33" s="11"/>
      <c r="K33" s="12" t="n">
        <v>46254</v>
      </c>
      <c r="L33" s="13" t="n">
        <v>1850</v>
      </c>
      <c r="M33" s="13" t="n">
        <v>0</v>
      </c>
      <c r="N33" s="14" t="n">
        <f aca="false">L33+M33</f>
        <v>1850</v>
      </c>
      <c r="O33" s="11" t="s">
        <v>69</v>
      </c>
      <c r="P33" s="11"/>
      <c r="Q33" s="13" t="n">
        <v>2200</v>
      </c>
      <c r="R33" s="12"/>
      <c r="S33" s="13"/>
      <c r="T33" s="15" t="n">
        <f aca="true">IF(B33="Sold",R33-K33,TODAY()-K33)</f>
        <v>8</v>
      </c>
      <c r="U33" s="14" t="str">
        <f aca="false">IF(B33="Sold",S33-N33,"")</f>
        <v/>
      </c>
      <c r="V33" s="16" t="str">
        <f aca="false">IF(B33="Sold",IFERROR(U33/S33,0),"")</f>
        <v/>
      </c>
      <c r="W33" s="17" t="str">
        <f aca="false">IF(B33="Sold",DATE(YEAR(R33),MONTH(R33),1),"")</f>
        <v/>
      </c>
      <c r="X33" s="15" t="n">
        <f aca="false">IF(C33="New",COUNTIFS($C$5:C33,"New"),"")</f>
        <v>22</v>
      </c>
      <c r="Y33" s="15" t="str">
        <f aca="false">IF(C33="Used",COUNTIFS($C$5:C33,"Used"),"")</f>
        <v/>
      </c>
    </row>
    <row r="34" customFormat="false" ht="15" hidden="false" customHeight="false" outlineLevel="0" collapsed="false">
      <c r="A34" s="11" t="s">
        <v>206</v>
      </c>
      <c r="B34" s="11" t="s">
        <v>177</v>
      </c>
      <c r="C34" s="11" t="s">
        <v>62</v>
      </c>
      <c r="D34" s="11" t="s">
        <v>134</v>
      </c>
      <c r="E34" s="11" t="s">
        <v>207</v>
      </c>
      <c r="F34" s="11" t="n">
        <v>2026</v>
      </c>
      <c r="G34" s="11" t="s">
        <v>65</v>
      </c>
      <c r="H34" s="11" t="s">
        <v>208</v>
      </c>
      <c r="I34" s="11" t="s">
        <v>209</v>
      </c>
      <c r="J34" s="11"/>
      <c r="K34" s="12" t="n">
        <v>46256</v>
      </c>
      <c r="L34" s="13" t="n">
        <v>1850</v>
      </c>
      <c r="M34" s="13" t="n">
        <v>0</v>
      </c>
      <c r="N34" s="14" t="n">
        <f aca="false">L34+M34</f>
        <v>1850</v>
      </c>
      <c r="O34" s="11" t="s">
        <v>69</v>
      </c>
      <c r="P34" s="11"/>
      <c r="Q34" s="13" t="n">
        <v>2200</v>
      </c>
      <c r="R34" s="12"/>
      <c r="S34" s="13"/>
      <c r="T34" s="15" t="n">
        <f aca="true">IF(B34="Sold",R34-K34,TODAY()-K34)</f>
        <v>6</v>
      </c>
      <c r="U34" s="14" t="str">
        <f aca="false">IF(B34="Sold",S34-N34,"")</f>
        <v/>
      </c>
      <c r="V34" s="16" t="str">
        <f aca="false">IF(B34="Sold",IFERROR(U34/S34,0),"")</f>
        <v/>
      </c>
      <c r="W34" s="17" t="str">
        <f aca="false">IF(B34="Sold",DATE(YEAR(R34),MONTH(R34),1),"")</f>
        <v/>
      </c>
      <c r="X34" s="15" t="n">
        <f aca="false">IF(C34="New",COUNTIFS($C$5:C34,"New"),"")</f>
        <v>23</v>
      </c>
      <c r="Y34" s="15" t="str">
        <f aca="false">IF(C34="Used",COUNTIFS($C$5:C34,"Used"),"")</f>
        <v/>
      </c>
    </row>
    <row r="36" customFormat="false" ht="15" hidden="false" customHeight="false" outlineLevel="0" collapsed="false">
      <c r="A36" s="2" t="s">
        <v>210</v>
      </c>
      <c r="B36" s="2"/>
      <c r="C36" s="2"/>
      <c r="D36" s="2"/>
      <c r="E36" s="2"/>
      <c r="F36" s="2"/>
      <c r="G36" s="2"/>
      <c r="H36" s="2"/>
      <c r="I36" s="2"/>
      <c r="J36" s="2"/>
    </row>
  </sheetData>
  <autoFilter ref="A4:W34"/>
  <mergeCells count="3">
    <mergeCell ref="A1:W1"/>
    <mergeCell ref="A2:W2"/>
    <mergeCell ref="A36:J36"/>
  </mergeCells>
  <conditionalFormatting sqref="B5:B500">
    <cfRule type="cellIs" priority="2" operator="equal" aboveAverage="0" equalAverage="0" bottom="0" percent="0" rank="0" text="" dxfId="13">
      <formula>"In Stock"</formula>
    </cfRule>
    <cfRule type="cellIs" priority="3" operator="equal" aboveAverage="0" equalAverage="0" bottom="0" percent="0" rank="0" text="" dxfId="14">
      <formula>"Reserved"</formula>
    </cfRule>
    <cfRule type="cellIs" priority="4" operator="equal" aboveAverage="0" equalAverage="0" bottom="0" percent="0" rank="0" text="" dxfId="15">
      <formula>"Sold"</formula>
    </cfRule>
  </conditionalFormatting>
  <conditionalFormatting sqref="O5:O500">
    <cfRule type="cellIs" priority="5" operator="equal" aboveAverage="0" equalAverage="0" bottom="0" percent="0" rank="0" text="" dxfId="13">
      <formula>"Complete"</formula>
    </cfRule>
    <cfRule type="cellIs" priority="6" operator="equal" aboveAverage="0" equalAverage="0" bottom="0" percent="0" rank="0" text="" dxfId="16">
      <formula>"Pending Transfer"</formula>
    </cfRule>
    <cfRule type="cellIs" priority="7" operator="equal" aboveAverage="0" equalAverage="0" bottom="0" percent="0" rank="0" text="" dxfId="17">
      <formula>"Missing Documents"</formula>
    </cfRule>
  </conditionalFormatting>
  <dataValidations count="3">
    <dataValidation allowBlank="true" errorStyle="stop" operator="between" showDropDown="false" showErrorMessage="false" showInputMessage="false" sqref="B5:B500" type="list">
      <formula1>"In Stock,Sold,Reserved"</formula1>
      <formula2>0</formula2>
    </dataValidation>
    <dataValidation allowBlank="true" errorStyle="stop" operator="between" showDropDown="false" showErrorMessage="false" showInputMessage="false" sqref="C5:C500" type="list">
      <formula1>"New,Used"</formula1>
      <formula2>0</formula2>
    </dataValidation>
    <dataValidation allowBlank="true" errorStyle="stop" operator="between" showDropDown="false" showErrorMessage="false" showInputMessage="false" sqref="O5:O500" type="list">
      <formula1>"Complete,Pending Transfer,Missing Documents"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15"/>
    <col collapsed="false" customWidth="true" hidden="false" outlineLevel="0" max="16" min="16" style="0" width="18"/>
    <col collapsed="false" customWidth="true" hidden="false" outlineLevel="0" max="18" min="17" style="0" width="13"/>
    <col collapsed="false" customWidth="true" hidden="false" outlineLevel="0" max="19" min="19" style="0" width="15"/>
    <col collapsed="false" customWidth="true" hidden="false" outlineLevel="0" max="21" min="20" style="0" width="11"/>
    <col collapsed="false" customWidth="true" hidden="false" outlineLevel="0" max="22" min="22" style="0" width="10"/>
    <col collapsed="false" customWidth="true" hidden="false" outlineLevel="0" max="23" min="23" style="0" width="12"/>
  </cols>
  <sheetData>
    <row r="1" customFormat="false" ht="24" hidden="false" customHeight="true" outlineLevel="0" collapsed="false">
      <c r="A1" s="1" t="s">
        <v>211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2.65" hidden="false" customHeight="false" outlineLevel="0" collapsed="false">
      <c r="A2" s="2" t="s">
        <v>212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6" hidden="false" customHeight="true" outlineLevel="0" collapsed="false"/>
    <row r="4" customFormat="false" ht="39.75" hidden="false" customHeight="true" outlineLevel="0" collapsed="false">
      <c r="A4" s="10" t="s">
        <v>35</v>
      </c>
      <c r="B4" s="10" t="s">
        <v>36</v>
      </c>
      <c r="C4" s="10" t="s">
        <v>37</v>
      </c>
      <c r="D4" s="10" t="s">
        <v>38</v>
      </c>
      <c r="E4" s="10" t="s">
        <v>39</v>
      </c>
      <c r="F4" s="10" t="s">
        <v>40</v>
      </c>
      <c r="G4" s="10" t="s">
        <v>41</v>
      </c>
      <c r="H4" s="10" t="s">
        <v>42</v>
      </c>
      <c r="I4" s="10" t="s">
        <v>43</v>
      </c>
      <c r="J4" s="10" t="s">
        <v>44</v>
      </c>
      <c r="K4" s="10" t="s">
        <v>45</v>
      </c>
      <c r="L4" s="10" t="s">
        <v>46</v>
      </c>
      <c r="M4" s="10" t="s">
        <v>47</v>
      </c>
      <c r="N4" s="10" t="s">
        <v>48</v>
      </c>
      <c r="O4" s="10" t="s">
        <v>49</v>
      </c>
      <c r="P4" s="10" t="s">
        <v>50</v>
      </c>
      <c r="Q4" s="10" t="s">
        <v>51</v>
      </c>
      <c r="R4" s="10" t="s">
        <v>52</v>
      </c>
      <c r="S4" s="10" t="s">
        <v>53</v>
      </c>
      <c r="T4" s="10" t="s">
        <v>54</v>
      </c>
      <c r="U4" s="10" t="s">
        <v>55</v>
      </c>
      <c r="V4" s="10" t="s">
        <v>56</v>
      </c>
      <c r="W4" s="10" t="s">
        <v>57</v>
      </c>
    </row>
    <row r="5" customFormat="false" ht="15" hidden="false" customHeight="false" outlineLevel="0" collapsed="false">
      <c r="A5" s="18" t="str">
        <f aca="false">IFERROR(INDEX('Vehicle Register'!$A$5:$A$500, MATCH(1, 'Vehicle Register'!$X$5:$X$500, 0)), "")</f>
        <v>RM-0001</v>
      </c>
      <c r="B5" s="18" t="str">
        <f aca="false">IFERROR(INDEX('Vehicle Register'!$B$5:$B$500, MATCH(1, 'Vehicle Register'!$X$5:$X$500, 0)), "")</f>
        <v>Sold</v>
      </c>
      <c r="C5" s="18" t="str">
        <f aca="false">IFERROR(INDEX('Vehicle Register'!$C$5:$C$500, MATCH(1, 'Vehicle Register'!$X$5:$X$500, 0)), "")</f>
        <v>New</v>
      </c>
      <c r="D5" s="18" t="str">
        <f aca="false">IFERROR(INDEX('Vehicle Register'!$D$5:$D$500, MATCH(1, 'Vehicle Register'!$X$5:$X$500, 0)), "")</f>
        <v>Honda</v>
      </c>
      <c r="E5" s="18" t="str">
        <f aca="false">IFERROR(INDEX('Vehicle Register'!$E$5:$E$500, MATCH(1, 'Vehicle Register'!$X$5:$X$500, 0)), "")</f>
        <v>Honda Dream 125i</v>
      </c>
      <c r="F5" s="18" t="n">
        <f aca="false">IFERROR(INDEX('Vehicle Register'!$F$5:$F$500, MATCH(1, 'Vehicle Register'!$X$5:$X$500, 0)), "")</f>
        <v>2026</v>
      </c>
      <c r="G5" s="18" t="str">
        <f aca="false">IFERROR(INDEX('Vehicle Register'!$G$5:$G$500, MATCH(1, 'Vehicle Register'!$X$5:$X$500, 0)), "")</f>
        <v>Red</v>
      </c>
      <c r="H5" s="18" t="str">
        <f aca="false">IFERROR(INDEX('Vehicle Register'!$H$5:$H$500, MATCH(1, 'Vehicle Register'!$X$5:$X$500, 0)), "")</f>
        <v>JC52E-118820</v>
      </c>
      <c r="I5" s="18" t="str">
        <f aca="false">IFERROR(INDEX('Vehicle Register'!$I$5:$I$500, MATCH(1, 'Vehicle Register'!$X$5:$X$500, 0)), "")</f>
        <v>MLHJC52E1P8118820</v>
      </c>
      <c r="J5" s="18" t="str">
        <f aca="false">IFERROR(INDEX('Vehicle Register'!$J$5:$J$500, MATCH(1, 'Vehicle Register'!$X$5:$X$500, 0)), "")</f>
        <v>2AA-1023</v>
      </c>
      <c r="K5" s="19" t="n">
        <f aca="false">IFERROR(INDEX('Vehicle Register'!$K$5:$K$500, MATCH(1, 'Vehicle Register'!$X$5:$X$500, 0)), "")</f>
        <v>46162</v>
      </c>
      <c r="L5" s="20" t="n">
        <f aca="false">IFERROR(INDEX('Vehicle Register'!$L$5:$L$500, MATCH(1, 'Vehicle Register'!$X$5:$X$500, 0)), "")</f>
        <v>1550</v>
      </c>
      <c r="M5" s="20" t="n">
        <f aca="false">IFERROR(INDEX('Vehicle Register'!$M$5:$M$500, MATCH(1, 'Vehicle Register'!$X$5:$X$500, 0)), "")</f>
        <v>0</v>
      </c>
      <c r="N5" s="20" t="n">
        <f aca="false">IFERROR(INDEX('Vehicle Register'!$N$5:$N$500, MATCH(1, 'Vehicle Register'!$X$5:$X$500, 0)), "")</f>
        <v>1550</v>
      </c>
      <c r="O5" s="18" t="str">
        <f aca="false">IFERROR(INDEX('Vehicle Register'!$O$5:$O$500, MATCH(1, 'Vehicle Register'!$X$5:$X$500, 0)), "")</f>
        <v>Complete</v>
      </c>
      <c r="P5" s="18" t="n">
        <f aca="false">IFERROR(INDEX('Vehicle Register'!$P$5:$P$500, MATCH(1, 'Vehicle Register'!$X$5:$X$500, 0)), "")</f>
        <v>0</v>
      </c>
      <c r="Q5" s="20" t="n">
        <f aca="false">IFERROR(INDEX('Vehicle Register'!$Q$5:$Q$500, MATCH(1, 'Vehicle Register'!$X$5:$X$500, 0)), "")</f>
        <v>1850</v>
      </c>
      <c r="R5" s="19" t="n">
        <f aca="false">IFERROR(INDEX('Vehicle Register'!$R$5:$R$500, MATCH(1, 'Vehicle Register'!$X$5:$X$500, 0)), "")</f>
        <v>46176</v>
      </c>
      <c r="S5" s="20" t="n">
        <f aca="false">IFERROR(INDEX('Vehicle Register'!$S$5:$S$500, MATCH(1, 'Vehicle Register'!$X$5:$X$500, 0)), "")</f>
        <v>1850</v>
      </c>
      <c r="T5" s="18" t="n">
        <f aca="false">IFERROR(INDEX('Vehicle Register'!$T$5:$T$500, MATCH(1, 'Vehicle Register'!$X$5:$X$500, 0)), "")</f>
        <v>14</v>
      </c>
      <c r="U5" s="20" t="n">
        <f aca="false">IFERROR(INDEX('Vehicle Register'!$U$5:$U$500, MATCH(1, 'Vehicle Register'!$X$5:$X$500, 0)), "")</f>
        <v>300</v>
      </c>
      <c r="V5" s="21" t="n">
        <f aca="false">IFERROR(INDEX('Vehicle Register'!$V$5:$V$500, MATCH(1, 'Vehicle Register'!$X$5:$X$500, 0)), "")</f>
        <v>0.162162162162162</v>
      </c>
      <c r="W5" s="22" t="n">
        <f aca="false">IFERROR(INDEX('Vehicle Register'!$W$5:$W$500, MATCH(1, 'Vehicle Register'!$X$5:$X$500, 0)), "")</f>
        <v>46174</v>
      </c>
    </row>
    <row r="6" customFormat="false" ht="15" hidden="false" customHeight="false" outlineLevel="0" collapsed="false">
      <c r="A6" s="18" t="str">
        <f aca="false">IFERROR(INDEX('Vehicle Register'!$A$5:$A$500, MATCH(2, 'Vehicle Register'!$X$5:$X$500, 0)), "")</f>
        <v>RM-0002</v>
      </c>
      <c r="B6" s="18" t="str">
        <f aca="false">IFERROR(INDEX('Vehicle Register'!$B$5:$B$500, MATCH(2, 'Vehicle Register'!$X$5:$X$500, 0)), "")</f>
        <v>Sold</v>
      </c>
      <c r="C6" s="18" t="str">
        <f aca="false">IFERROR(INDEX('Vehicle Register'!$C$5:$C$500, MATCH(2, 'Vehicle Register'!$X$5:$X$500, 0)), "")</f>
        <v>New</v>
      </c>
      <c r="D6" s="18" t="str">
        <f aca="false">IFERROR(INDEX('Vehicle Register'!$D$5:$D$500, MATCH(2, 'Vehicle Register'!$X$5:$X$500, 0)), "")</f>
        <v>Honda</v>
      </c>
      <c r="E6" s="18" t="str">
        <f aca="false">IFERROR(INDEX('Vehicle Register'!$E$5:$E$500, MATCH(2, 'Vehicle Register'!$X$5:$X$500, 0)), "")</f>
        <v>Honda Wave 125i</v>
      </c>
      <c r="F6" s="18" t="n">
        <f aca="false">IFERROR(INDEX('Vehicle Register'!$F$5:$F$500, MATCH(2, 'Vehicle Register'!$X$5:$X$500, 0)), "")</f>
        <v>2026</v>
      </c>
      <c r="G6" s="18" t="str">
        <f aca="false">IFERROR(INDEX('Vehicle Register'!$G$5:$G$500, MATCH(2, 'Vehicle Register'!$X$5:$X$500, 0)), "")</f>
        <v>Black</v>
      </c>
      <c r="H6" s="18" t="str">
        <f aca="false">IFERROR(INDEX('Vehicle Register'!$H$5:$H$500, MATCH(2, 'Vehicle Register'!$X$5:$X$500, 0)), "")</f>
        <v>JA07E-220134</v>
      </c>
      <c r="I6" s="18" t="str">
        <f aca="false">IFERROR(INDEX('Vehicle Register'!$I$5:$I$500, MATCH(2, 'Vehicle Register'!$X$5:$X$500, 0)), "")</f>
        <v>MLHJA07E2P8220134</v>
      </c>
      <c r="J6" s="18" t="str">
        <f aca="false">IFERROR(INDEX('Vehicle Register'!$J$5:$J$500, MATCH(2, 'Vehicle Register'!$X$5:$X$500, 0)), "")</f>
        <v>2AA-1045</v>
      </c>
      <c r="K6" s="19" t="n">
        <f aca="false">IFERROR(INDEX('Vehicle Register'!$K$5:$K$500, MATCH(2, 'Vehicle Register'!$X$5:$X$500, 0)), "")</f>
        <v>46164</v>
      </c>
      <c r="L6" s="20" t="n">
        <f aca="false">IFERROR(INDEX('Vehicle Register'!$L$5:$L$500, MATCH(2, 'Vehicle Register'!$X$5:$X$500, 0)), "")</f>
        <v>1450</v>
      </c>
      <c r="M6" s="20" t="n">
        <f aca="false">IFERROR(INDEX('Vehicle Register'!$M$5:$M$500, MATCH(2, 'Vehicle Register'!$X$5:$X$500, 0)), "")</f>
        <v>0</v>
      </c>
      <c r="N6" s="20" t="n">
        <f aca="false">IFERROR(INDEX('Vehicle Register'!$N$5:$N$500, MATCH(2, 'Vehicle Register'!$X$5:$X$500, 0)), "")</f>
        <v>1450</v>
      </c>
      <c r="O6" s="18" t="str">
        <f aca="false">IFERROR(INDEX('Vehicle Register'!$O$5:$O$500, MATCH(2, 'Vehicle Register'!$X$5:$X$500, 0)), "")</f>
        <v>Complete</v>
      </c>
      <c r="P6" s="18" t="n">
        <f aca="false">IFERROR(INDEX('Vehicle Register'!$P$5:$P$500, MATCH(2, 'Vehicle Register'!$X$5:$X$500, 0)), "")</f>
        <v>0</v>
      </c>
      <c r="Q6" s="20" t="n">
        <f aca="false">IFERROR(INDEX('Vehicle Register'!$Q$5:$Q$500, MATCH(2, 'Vehicle Register'!$X$5:$X$500, 0)), "")</f>
        <v>1750</v>
      </c>
      <c r="R6" s="19" t="n">
        <f aca="false">IFERROR(INDEX('Vehicle Register'!$R$5:$R$500, MATCH(2, 'Vehicle Register'!$X$5:$X$500, 0)), "")</f>
        <v>46183</v>
      </c>
      <c r="S6" s="20" t="n">
        <f aca="false">IFERROR(INDEX('Vehicle Register'!$S$5:$S$500, MATCH(2, 'Vehicle Register'!$X$5:$X$500, 0)), "")</f>
        <v>1750</v>
      </c>
      <c r="T6" s="18" t="n">
        <f aca="false">IFERROR(INDEX('Vehicle Register'!$T$5:$T$500, MATCH(2, 'Vehicle Register'!$X$5:$X$500, 0)), "")</f>
        <v>19</v>
      </c>
      <c r="U6" s="20" t="n">
        <f aca="false">IFERROR(INDEX('Vehicle Register'!$U$5:$U$500, MATCH(2, 'Vehicle Register'!$X$5:$X$500, 0)), "")</f>
        <v>300</v>
      </c>
      <c r="V6" s="21" t="n">
        <f aca="false">IFERROR(INDEX('Vehicle Register'!$V$5:$V$500, MATCH(2, 'Vehicle Register'!$X$5:$X$500, 0)), "")</f>
        <v>0.171428571428571</v>
      </c>
      <c r="W6" s="22" t="n">
        <f aca="false">IFERROR(INDEX('Vehicle Register'!$W$5:$W$500, MATCH(2, 'Vehicle Register'!$X$5:$X$500, 0)), "")</f>
        <v>46174</v>
      </c>
    </row>
    <row r="7" customFormat="false" ht="15" hidden="false" customHeight="false" outlineLevel="0" collapsed="false">
      <c r="A7" s="18" t="str">
        <f aca="false">IFERROR(INDEX('Vehicle Register'!$A$5:$A$500, MATCH(3, 'Vehicle Register'!$X$5:$X$500, 0)), "")</f>
        <v>RM-0003</v>
      </c>
      <c r="B7" s="18" t="str">
        <f aca="false">IFERROR(INDEX('Vehicle Register'!$B$5:$B$500, MATCH(3, 'Vehicle Register'!$X$5:$X$500, 0)), "")</f>
        <v>Sold</v>
      </c>
      <c r="C7" s="18" t="str">
        <f aca="false">IFERROR(INDEX('Vehicle Register'!$C$5:$C$500, MATCH(3, 'Vehicle Register'!$X$5:$X$500, 0)), "")</f>
        <v>New</v>
      </c>
      <c r="D7" s="18" t="str">
        <f aca="false">IFERROR(INDEX('Vehicle Register'!$D$5:$D$500, MATCH(3, 'Vehicle Register'!$X$5:$X$500, 0)), "")</f>
        <v>Honda</v>
      </c>
      <c r="E7" s="18" t="str">
        <f aca="false">IFERROR(INDEX('Vehicle Register'!$E$5:$E$500, MATCH(3, 'Vehicle Register'!$X$5:$X$500, 0)), "")</f>
        <v>Honda Wave 125i</v>
      </c>
      <c r="F7" s="18" t="n">
        <f aca="false">IFERROR(INDEX('Vehicle Register'!$F$5:$F$500, MATCH(3, 'Vehicle Register'!$X$5:$X$500, 0)), "")</f>
        <v>2026</v>
      </c>
      <c r="G7" s="18" t="str">
        <f aca="false">IFERROR(INDEX('Vehicle Register'!$G$5:$G$500, MATCH(3, 'Vehicle Register'!$X$5:$X$500, 0)), "")</f>
        <v>Blue</v>
      </c>
      <c r="H7" s="18" t="str">
        <f aca="false">IFERROR(INDEX('Vehicle Register'!$H$5:$H$500, MATCH(3, 'Vehicle Register'!$X$5:$X$500, 0)), "")</f>
        <v>JA07E-220135</v>
      </c>
      <c r="I7" s="18" t="str">
        <f aca="false">IFERROR(INDEX('Vehicle Register'!$I$5:$I$500, MATCH(3, 'Vehicle Register'!$X$5:$X$500, 0)), "")</f>
        <v>MLHJA07E2P8220135</v>
      </c>
      <c r="J7" s="18" t="str">
        <f aca="false">IFERROR(INDEX('Vehicle Register'!$J$5:$J$500, MATCH(3, 'Vehicle Register'!$X$5:$X$500, 0)), "")</f>
        <v>2AA-1046</v>
      </c>
      <c r="K7" s="19" t="n">
        <f aca="false">IFERROR(INDEX('Vehicle Register'!$K$5:$K$500, MATCH(3, 'Vehicle Register'!$X$5:$X$500, 0)), "")</f>
        <v>46164</v>
      </c>
      <c r="L7" s="20" t="n">
        <f aca="false">IFERROR(INDEX('Vehicle Register'!$L$5:$L$500, MATCH(3, 'Vehicle Register'!$X$5:$X$500, 0)), "")</f>
        <v>1450</v>
      </c>
      <c r="M7" s="20" t="n">
        <f aca="false">IFERROR(INDEX('Vehicle Register'!$M$5:$M$500, MATCH(3, 'Vehicle Register'!$X$5:$X$500, 0)), "")</f>
        <v>0</v>
      </c>
      <c r="N7" s="20" t="n">
        <f aca="false">IFERROR(INDEX('Vehicle Register'!$N$5:$N$500, MATCH(3, 'Vehicle Register'!$X$5:$X$500, 0)), "")</f>
        <v>1450</v>
      </c>
      <c r="O7" s="18" t="str">
        <f aca="false">IFERROR(INDEX('Vehicle Register'!$O$5:$O$500, MATCH(3, 'Vehicle Register'!$X$5:$X$500, 0)), "")</f>
        <v>Complete</v>
      </c>
      <c r="P7" s="18" t="n">
        <f aca="false">IFERROR(INDEX('Vehicle Register'!$P$5:$P$500, MATCH(3, 'Vehicle Register'!$X$5:$X$500, 0)), "")</f>
        <v>0</v>
      </c>
      <c r="Q7" s="20" t="n">
        <f aca="false">IFERROR(INDEX('Vehicle Register'!$Q$5:$Q$500, MATCH(3, 'Vehicle Register'!$X$5:$X$500, 0)), "")</f>
        <v>1750</v>
      </c>
      <c r="R7" s="19" t="n">
        <f aca="false">IFERROR(INDEX('Vehicle Register'!$R$5:$R$500, MATCH(3, 'Vehicle Register'!$X$5:$X$500, 0)), "")</f>
        <v>46183</v>
      </c>
      <c r="S7" s="20" t="n">
        <f aca="false">IFERROR(INDEX('Vehicle Register'!$S$5:$S$500, MATCH(3, 'Vehicle Register'!$X$5:$X$500, 0)), "")</f>
        <v>1750</v>
      </c>
      <c r="T7" s="18" t="n">
        <f aca="false">IFERROR(INDEX('Vehicle Register'!$T$5:$T$500, MATCH(3, 'Vehicle Register'!$X$5:$X$500, 0)), "")</f>
        <v>19</v>
      </c>
      <c r="U7" s="20" t="n">
        <f aca="false">IFERROR(INDEX('Vehicle Register'!$U$5:$U$500, MATCH(3, 'Vehicle Register'!$X$5:$X$500, 0)), "")</f>
        <v>300</v>
      </c>
      <c r="V7" s="21" t="n">
        <f aca="false">IFERROR(INDEX('Vehicle Register'!$V$5:$V$500, MATCH(3, 'Vehicle Register'!$X$5:$X$500, 0)), "")</f>
        <v>0.171428571428571</v>
      </c>
      <c r="W7" s="22" t="n">
        <f aca="false">IFERROR(INDEX('Vehicle Register'!$W$5:$W$500, MATCH(3, 'Vehicle Register'!$X$5:$X$500, 0)), "")</f>
        <v>46174</v>
      </c>
    </row>
    <row r="8" customFormat="false" ht="15" hidden="false" customHeight="false" outlineLevel="0" collapsed="false">
      <c r="A8" s="18" t="str">
        <f aca="false">IFERROR(INDEX('Vehicle Register'!$A$5:$A$500, MATCH(4, 'Vehicle Register'!$X$5:$X$500, 0)), "")</f>
        <v>RM-0004</v>
      </c>
      <c r="B8" s="18" t="str">
        <f aca="false">IFERROR(INDEX('Vehicle Register'!$B$5:$B$500, MATCH(4, 'Vehicle Register'!$X$5:$X$500, 0)), "")</f>
        <v>Sold</v>
      </c>
      <c r="C8" s="18" t="str">
        <f aca="false">IFERROR(INDEX('Vehicle Register'!$C$5:$C$500, MATCH(4, 'Vehicle Register'!$X$5:$X$500, 0)), "")</f>
        <v>New</v>
      </c>
      <c r="D8" s="18" t="str">
        <f aca="false">IFERROR(INDEX('Vehicle Register'!$D$5:$D$500, MATCH(4, 'Vehicle Register'!$X$5:$X$500, 0)), "")</f>
        <v>Honda</v>
      </c>
      <c r="E8" s="18" t="str">
        <f aca="false">IFERROR(INDEX('Vehicle Register'!$E$5:$E$500, MATCH(4, 'Vehicle Register'!$X$5:$X$500, 0)), "")</f>
        <v>Honda Wave 125i</v>
      </c>
      <c r="F8" s="18" t="n">
        <f aca="false">IFERROR(INDEX('Vehicle Register'!$F$5:$F$500, MATCH(4, 'Vehicle Register'!$X$5:$X$500, 0)), "")</f>
        <v>2026</v>
      </c>
      <c r="G8" s="18" t="str">
        <f aca="false">IFERROR(INDEX('Vehicle Register'!$G$5:$G$500, MATCH(4, 'Vehicle Register'!$X$5:$X$500, 0)), "")</f>
        <v>Red</v>
      </c>
      <c r="H8" s="18" t="str">
        <f aca="false">IFERROR(INDEX('Vehicle Register'!$H$5:$H$500, MATCH(4, 'Vehicle Register'!$X$5:$X$500, 0)), "")</f>
        <v>JA07E-220136</v>
      </c>
      <c r="I8" s="18" t="str">
        <f aca="false">IFERROR(INDEX('Vehicle Register'!$I$5:$I$500, MATCH(4, 'Vehicle Register'!$X$5:$X$500, 0)), "")</f>
        <v>MLHJA07E2P8220136</v>
      </c>
      <c r="J8" s="18" t="str">
        <f aca="false">IFERROR(INDEX('Vehicle Register'!$J$5:$J$500, MATCH(4, 'Vehicle Register'!$X$5:$X$500, 0)), "")</f>
        <v>2AA-1047</v>
      </c>
      <c r="K8" s="19" t="n">
        <f aca="false">IFERROR(INDEX('Vehicle Register'!$K$5:$K$500, MATCH(4, 'Vehicle Register'!$X$5:$X$500, 0)), "")</f>
        <v>46164</v>
      </c>
      <c r="L8" s="20" t="n">
        <f aca="false">IFERROR(INDEX('Vehicle Register'!$L$5:$L$500, MATCH(4, 'Vehicle Register'!$X$5:$X$500, 0)), "")</f>
        <v>1450</v>
      </c>
      <c r="M8" s="20" t="n">
        <f aca="false">IFERROR(INDEX('Vehicle Register'!$M$5:$M$500, MATCH(4, 'Vehicle Register'!$X$5:$X$500, 0)), "")</f>
        <v>0</v>
      </c>
      <c r="N8" s="20" t="n">
        <f aca="false">IFERROR(INDEX('Vehicle Register'!$N$5:$N$500, MATCH(4, 'Vehicle Register'!$X$5:$X$500, 0)), "")</f>
        <v>1450</v>
      </c>
      <c r="O8" s="18" t="str">
        <f aca="false">IFERROR(INDEX('Vehicle Register'!$O$5:$O$500, MATCH(4, 'Vehicle Register'!$X$5:$X$500, 0)), "")</f>
        <v>Complete</v>
      </c>
      <c r="P8" s="18" t="n">
        <f aca="false">IFERROR(INDEX('Vehicle Register'!$P$5:$P$500, MATCH(4, 'Vehicle Register'!$X$5:$X$500, 0)), "")</f>
        <v>0</v>
      </c>
      <c r="Q8" s="20" t="n">
        <f aca="false">IFERROR(INDEX('Vehicle Register'!$Q$5:$Q$500, MATCH(4, 'Vehicle Register'!$X$5:$X$500, 0)), "")</f>
        <v>1750</v>
      </c>
      <c r="R8" s="19" t="n">
        <f aca="false">IFERROR(INDEX('Vehicle Register'!$R$5:$R$500, MATCH(4, 'Vehicle Register'!$X$5:$X$500, 0)), "")</f>
        <v>46183</v>
      </c>
      <c r="S8" s="20" t="n">
        <f aca="false">IFERROR(INDEX('Vehicle Register'!$S$5:$S$500, MATCH(4, 'Vehicle Register'!$X$5:$X$500, 0)), "")</f>
        <v>1750</v>
      </c>
      <c r="T8" s="18" t="n">
        <f aca="false">IFERROR(INDEX('Vehicle Register'!$T$5:$T$500, MATCH(4, 'Vehicle Register'!$X$5:$X$500, 0)), "")</f>
        <v>19</v>
      </c>
      <c r="U8" s="20" t="n">
        <f aca="false">IFERROR(INDEX('Vehicle Register'!$U$5:$U$500, MATCH(4, 'Vehicle Register'!$X$5:$X$500, 0)), "")</f>
        <v>300</v>
      </c>
      <c r="V8" s="21" t="n">
        <f aca="false">IFERROR(INDEX('Vehicle Register'!$V$5:$V$500, MATCH(4, 'Vehicle Register'!$X$5:$X$500, 0)), "")</f>
        <v>0.171428571428571</v>
      </c>
      <c r="W8" s="22" t="n">
        <f aca="false">IFERROR(INDEX('Vehicle Register'!$W$5:$W$500, MATCH(4, 'Vehicle Register'!$X$5:$X$500, 0)), "")</f>
        <v>46174</v>
      </c>
    </row>
    <row r="9" customFormat="false" ht="15" hidden="false" customHeight="false" outlineLevel="0" collapsed="false">
      <c r="A9" s="18" t="str">
        <f aca="false">IFERROR(INDEX('Vehicle Register'!$A$5:$A$500, MATCH(5, 'Vehicle Register'!$X$5:$X$500, 0)), "")</f>
        <v>RM-0005</v>
      </c>
      <c r="B9" s="18" t="str">
        <f aca="false">IFERROR(INDEX('Vehicle Register'!$B$5:$B$500, MATCH(5, 'Vehicle Register'!$X$5:$X$500, 0)), "")</f>
        <v>Sold</v>
      </c>
      <c r="C9" s="18" t="str">
        <f aca="false">IFERROR(INDEX('Vehicle Register'!$C$5:$C$500, MATCH(5, 'Vehicle Register'!$X$5:$X$500, 0)), "")</f>
        <v>New</v>
      </c>
      <c r="D9" s="18" t="str">
        <f aca="false">IFERROR(INDEX('Vehicle Register'!$D$5:$D$500, MATCH(5, 'Vehicle Register'!$X$5:$X$500, 0)), "")</f>
        <v>Honda</v>
      </c>
      <c r="E9" s="18" t="str">
        <f aca="false">IFERROR(INDEX('Vehicle Register'!$E$5:$E$500, MATCH(5, 'Vehicle Register'!$X$5:$X$500, 0)), "")</f>
        <v>Honda Click 125i</v>
      </c>
      <c r="F9" s="18" t="n">
        <f aca="false">IFERROR(INDEX('Vehicle Register'!$F$5:$F$500, MATCH(5, 'Vehicle Register'!$X$5:$X$500, 0)), "")</f>
        <v>2026</v>
      </c>
      <c r="G9" s="18" t="str">
        <f aca="false">IFERROR(INDEX('Vehicle Register'!$G$5:$G$500, MATCH(5, 'Vehicle Register'!$X$5:$X$500, 0)), "")</f>
        <v>White</v>
      </c>
      <c r="H9" s="18" t="str">
        <f aca="false">IFERROR(INDEX('Vehicle Register'!$H$5:$H$500, MATCH(5, 'Vehicle Register'!$X$5:$X$500, 0)), "")</f>
        <v>JF71E-330210</v>
      </c>
      <c r="I9" s="18" t="str">
        <f aca="false">IFERROR(INDEX('Vehicle Register'!$I$5:$I$500, MATCH(5, 'Vehicle Register'!$X$5:$X$500, 0)), "")</f>
        <v>MLHJF71E3P8330210</v>
      </c>
      <c r="J9" s="18" t="str">
        <f aca="false">IFERROR(INDEX('Vehicle Register'!$J$5:$J$500, MATCH(5, 'Vehicle Register'!$X$5:$X$500, 0)), "")</f>
        <v>2AA-1058</v>
      </c>
      <c r="K9" s="19" t="n">
        <f aca="false">IFERROR(INDEX('Vehicle Register'!$K$5:$K$500, MATCH(5, 'Vehicle Register'!$X$5:$X$500, 0)), "")</f>
        <v>46167</v>
      </c>
      <c r="L9" s="20" t="n">
        <f aca="false">IFERROR(INDEX('Vehicle Register'!$L$5:$L$500, MATCH(5, 'Vehicle Register'!$X$5:$X$500, 0)), "")</f>
        <v>1750</v>
      </c>
      <c r="M9" s="20" t="n">
        <f aca="false">IFERROR(INDEX('Vehicle Register'!$M$5:$M$500, MATCH(5, 'Vehicle Register'!$X$5:$X$500, 0)), "")</f>
        <v>0</v>
      </c>
      <c r="N9" s="20" t="n">
        <f aca="false">IFERROR(INDEX('Vehicle Register'!$N$5:$N$500, MATCH(5, 'Vehicle Register'!$X$5:$X$500, 0)), "")</f>
        <v>1750</v>
      </c>
      <c r="O9" s="18" t="str">
        <f aca="false">IFERROR(INDEX('Vehicle Register'!$O$5:$O$500, MATCH(5, 'Vehicle Register'!$X$5:$X$500, 0)), "")</f>
        <v>Complete</v>
      </c>
      <c r="P9" s="18" t="n">
        <f aca="false">IFERROR(INDEX('Vehicle Register'!$P$5:$P$500, MATCH(5, 'Vehicle Register'!$X$5:$X$500, 0)), "")</f>
        <v>0</v>
      </c>
      <c r="Q9" s="20" t="n">
        <f aca="false">IFERROR(INDEX('Vehicle Register'!$Q$5:$Q$500, MATCH(5, 'Vehicle Register'!$X$5:$X$500, 0)), "")</f>
        <v>2100</v>
      </c>
      <c r="R9" s="19" t="n">
        <f aca="false">IFERROR(INDEX('Vehicle Register'!$R$5:$R$500, MATCH(5, 'Vehicle Register'!$X$5:$X$500, 0)), "")</f>
        <v>46191</v>
      </c>
      <c r="S9" s="20" t="n">
        <f aca="false">IFERROR(INDEX('Vehicle Register'!$S$5:$S$500, MATCH(5, 'Vehicle Register'!$X$5:$X$500, 0)), "")</f>
        <v>2100</v>
      </c>
      <c r="T9" s="18" t="n">
        <f aca="false">IFERROR(INDEX('Vehicle Register'!$T$5:$T$500, MATCH(5, 'Vehicle Register'!$X$5:$X$500, 0)), "")</f>
        <v>24</v>
      </c>
      <c r="U9" s="20" t="n">
        <f aca="false">IFERROR(INDEX('Vehicle Register'!$U$5:$U$500, MATCH(5, 'Vehicle Register'!$X$5:$X$500, 0)), "")</f>
        <v>350</v>
      </c>
      <c r="V9" s="21" t="n">
        <f aca="false">IFERROR(INDEX('Vehicle Register'!$V$5:$V$500, MATCH(5, 'Vehicle Register'!$X$5:$X$500, 0)), "")</f>
        <v>0.166666666666667</v>
      </c>
      <c r="W9" s="22" t="n">
        <f aca="false">IFERROR(INDEX('Vehicle Register'!$W$5:$W$500, MATCH(5, 'Vehicle Register'!$X$5:$X$500, 0)), "")</f>
        <v>46174</v>
      </c>
    </row>
    <row r="10" customFormat="false" ht="15" hidden="false" customHeight="false" outlineLevel="0" collapsed="false">
      <c r="A10" s="18" t="str">
        <f aca="false">IFERROR(INDEX('Vehicle Register'!$A$5:$A$500, MATCH(6, 'Vehicle Register'!$X$5:$X$500, 0)), "")</f>
        <v>RM-0006</v>
      </c>
      <c r="B10" s="18" t="str">
        <f aca="false">IFERROR(INDEX('Vehicle Register'!$B$5:$B$500, MATCH(6, 'Vehicle Register'!$X$5:$X$500, 0)), "")</f>
        <v>Sold</v>
      </c>
      <c r="C10" s="18" t="str">
        <f aca="false">IFERROR(INDEX('Vehicle Register'!$C$5:$C$500, MATCH(6, 'Vehicle Register'!$X$5:$X$500, 0)), "")</f>
        <v>New</v>
      </c>
      <c r="D10" s="18" t="str">
        <f aca="false">IFERROR(INDEX('Vehicle Register'!$D$5:$D$500, MATCH(6, 'Vehicle Register'!$X$5:$X$500, 0)), "")</f>
        <v>Honda</v>
      </c>
      <c r="E10" s="18" t="str">
        <f aca="false">IFERROR(INDEX('Vehicle Register'!$E$5:$E$500, MATCH(6, 'Vehicle Register'!$X$5:$X$500, 0)), "")</f>
        <v>Honda Beat 110</v>
      </c>
      <c r="F10" s="18" t="n">
        <f aca="false">IFERROR(INDEX('Vehicle Register'!$F$5:$F$500, MATCH(6, 'Vehicle Register'!$X$5:$X$500, 0)), "")</f>
        <v>2026</v>
      </c>
      <c r="G10" s="18" t="str">
        <f aca="false">IFERROR(INDEX('Vehicle Register'!$G$5:$G$500, MATCH(6, 'Vehicle Register'!$X$5:$X$500, 0)), "")</f>
        <v>Silver</v>
      </c>
      <c r="H10" s="18" t="str">
        <f aca="false">IFERROR(INDEX('Vehicle Register'!$H$5:$H$500, MATCH(6, 'Vehicle Register'!$X$5:$X$500, 0)), "")</f>
        <v>JB02E-440310</v>
      </c>
      <c r="I10" s="18" t="str">
        <f aca="false">IFERROR(INDEX('Vehicle Register'!$I$5:$I$500, MATCH(6, 'Vehicle Register'!$X$5:$X$500, 0)), "")</f>
        <v>MLHJB02E4P8440310</v>
      </c>
      <c r="J10" s="18" t="str">
        <f aca="false">IFERROR(INDEX('Vehicle Register'!$J$5:$J$500, MATCH(6, 'Vehicle Register'!$X$5:$X$500, 0)), "")</f>
        <v>2AA-1061</v>
      </c>
      <c r="K10" s="19" t="n">
        <f aca="false">IFERROR(INDEX('Vehicle Register'!$K$5:$K$500, MATCH(6, 'Vehicle Register'!$X$5:$X$500, 0)), "")</f>
        <v>46170</v>
      </c>
      <c r="L10" s="20" t="n">
        <f aca="false">IFERROR(INDEX('Vehicle Register'!$L$5:$L$500, MATCH(6, 'Vehicle Register'!$X$5:$X$500, 0)), "")</f>
        <v>1300</v>
      </c>
      <c r="M10" s="20" t="n">
        <f aca="false">IFERROR(INDEX('Vehicle Register'!$M$5:$M$500, MATCH(6, 'Vehicle Register'!$X$5:$X$500, 0)), "")</f>
        <v>0</v>
      </c>
      <c r="N10" s="20" t="n">
        <f aca="false">IFERROR(INDEX('Vehicle Register'!$N$5:$N$500, MATCH(6, 'Vehicle Register'!$X$5:$X$500, 0)), "")</f>
        <v>1300</v>
      </c>
      <c r="O10" s="18" t="str">
        <f aca="false">IFERROR(INDEX('Vehicle Register'!$O$5:$O$500, MATCH(6, 'Vehicle Register'!$X$5:$X$500, 0)), "")</f>
        <v>Complete</v>
      </c>
      <c r="P10" s="18" t="n">
        <f aca="false">IFERROR(INDEX('Vehicle Register'!$P$5:$P$500, MATCH(6, 'Vehicle Register'!$X$5:$X$500, 0)), "")</f>
        <v>0</v>
      </c>
      <c r="Q10" s="20" t="n">
        <f aca="false">IFERROR(INDEX('Vehicle Register'!$Q$5:$Q$500, MATCH(6, 'Vehicle Register'!$X$5:$X$500, 0)), "")</f>
        <v>1600</v>
      </c>
      <c r="R10" s="19" t="n">
        <f aca="false">IFERROR(INDEX('Vehicle Register'!$R$5:$R$500, MATCH(6, 'Vehicle Register'!$X$5:$X$500, 0)), "")</f>
        <v>46198</v>
      </c>
      <c r="S10" s="20" t="n">
        <f aca="false">IFERROR(INDEX('Vehicle Register'!$S$5:$S$500, MATCH(6, 'Vehicle Register'!$X$5:$X$500, 0)), "")</f>
        <v>1600</v>
      </c>
      <c r="T10" s="18" t="n">
        <f aca="false">IFERROR(INDEX('Vehicle Register'!$T$5:$T$500, MATCH(6, 'Vehicle Register'!$X$5:$X$500, 0)), "")</f>
        <v>28</v>
      </c>
      <c r="U10" s="20" t="n">
        <f aca="false">IFERROR(INDEX('Vehicle Register'!$U$5:$U$500, MATCH(6, 'Vehicle Register'!$X$5:$X$500, 0)), "")</f>
        <v>300</v>
      </c>
      <c r="V10" s="21" t="n">
        <f aca="false">IFERROR(INDEX('Vehicle Register'!$V$5:$V$500, MATCH(6, 'Vehicle Register'!$X$5:$X$500, 0)), "")</f>
        <v>0.1875</v>
      </c>
      <c r="W10" s="22" t="n">
        <f aca="false">IFERROR(INDEX('Vehicle Register'!$W$5:$W$500, MATCH(6, 'Vehicle Register'!$X$5:$X$500, 0)), "")</f>
        <v>46174</v>
      </c>
    </row>
    <row r="11" customFormat="false" ht="15" hidden="false" customHeight="false" outlineLevel="0" collapsed="false">
      <c r="A11" s="18" t="str">
        <f aca="false">IFERROR(INDEX('Vehicle Register'!$A$5:$A$500, MATCH(7, 'Vehicle Register'!$X$5:$X$500, 0)), "")</f>
        <v>RM-0007</v>
      </c>
      <c r="B11" s="18" t="str">
        <f aca="false">IFERROR(INDEX('Vehicle Register'!$B$5:$B$500, MATCH(7, 'Vehicle Register'!$X$5:$X$500, 0)), "")</f>
        <v>Sold</v>
      </c>
      <c r="C11" s="18" t="str">
        <f aca="false">IFERROR(INDEX('Vehicle Register'!$C$5:$C$500, MATCH(7, 'Vehicle Register'!$X$5:$X$500, 0)), "")</f>
        <v>New</v>
      </c>
      <c r="D11" s="18" t="str">
        <f aca="false">IFERROR(INDEX('Vehicle Register'!$D$5:$D$500, MATCH(7, 'Vehicle Register'!$X$5:$X$500, 0)), "")</f>
        <v>Honda</v>
      </c>
      <c r="E11" s="18" t="str">
        <f aca="false">IFERROR(INDEX('Vehicle Register'!$E$5:$E$500, MATCH(7, 'Vehicle Register'!$X$5:$X$500, 0)), "")</f>
        <v>Honda Beat 110</v>
      </c>
      <c r="F11" s="18" t="n">
        <f aca="false">IFERROR(INDEX('Vehicle Register'!$F$5:$F$500, MATCH(7, 'Vehicle Register'!$X$5:$X$500, 0)), "")</f>
        <v>2026</v>
      </c>
      <c r="G11" s="18" t="str">
        <f aca="false">IFERROR(INDEX('Vehicle Register'!$G$5:$G$500, MATCH(7, 'Vehicle Register'!$X$5:$X$500, 0)), "")</f>
        <v>Black</v>
      </c>
      <c r="H11" s="18" t="str">
        <f aca="false">IFERROR(INDEX('Vehicle Register'!$H$5:$H$500, MATCH(7, 'Vehicle Register'!$X$5:$X$500, 0)), "")</f>
        <v>JB02E-440311</v>
      </c>
      <c r="I11" s="18" t="str">
        <f aca="false">IFERROR(INDEX('Vehicle Register'!$I$5:$I$500, MATCH(7, 'Vehicle Register'!$X$5:$X$500, 0)), "")</f>
        <v>MLHJB02E4P8440311</v>
      </c>
      <c r="J11" s="18" t="str">
        <f aca="false">IFERROR(INDEX('Vehicle Register'!$J$5:$J$500, MATCH(7, 'Vehicle Register'!$X$5:$X$500, 0)), "")</f>
        <v>2AA-1062</v>
      </c>
      <c r="K11" s="19" t="n">
        <f aca="false">IFERROR(INDEX('Vehicle Register'!$K$5:$K$500, MATCH(7, 'Vehicle Register'!$X$5:$X$500, 0)), "")</f>
        <v>46170</v>
      </c>
      <c r="L11" s="20" t="n">
        <f aca="false">IFERROR(INDEX('Vehicle Register'!$L$5:$L$500, MATCH(7, 'Vehicle Register'!$X$5:$X$500, 0)), "")</f>
        <v>1300</v>
      </c>
      <c r="M11" s="20" t="n">
        <f aca="false">IFERROR(INDEX('Vehicle Register'!$M$5:$M$500, MATCH(7, 'Vehicle Register'!$X$5:$X$500, 0)), "")</f>
        <v>0</v>
      </c>
      <c r="N11" s="20" t="n">
        <f aca="false">IFERROR(INDEX('Vehicle Register'!$N$5:$N$500, MATCH(7, 'Vehicle Register'!$X$5:$X$500, 0)), "")</f>
        <v>1300</v>
      </c>
      <c r="O11" s="18" t="str">
        <f aca="false">IFERROR(INDEX('Vehicle Register'!$O$5:$O$500, MATCH(7, 'Vehicle Register'!$X$5:$X$500, 0)), "")</f>
        <v>Complete</v>
      </c>
      <c r="P11" s="18" t="n">
        <f aca="false">IFERROR(INDEX('Vehicle Register'!$P$5:$P$500, MATCH(7, 'Vehicle Register'!$X$5:$X$500, 0)), "")</f>
        <v>0</v>
      </c>
      <c r="Q11" s="20" t="n">
        <f aca="false">IFERROR(INDEX('Vehicle Register'!$Q$5:$Q$500, MATCH(7, 'Vehicle Register'!$X$5:$X$500, 0)), "")</f>
        <v>1600</v>
      </c>
      <c r="R11" s="19" t="n">
        <f aca="false">IFERROR(INDEX('Vehicle Register'!$R$5:$R$500, MATCH(7, 'Vehicle Register'!$X$5:$X$500, 0)), "")</f>
        <v>46198</v>
      </c>
      <c r="S11" s="20" t="n">
        <f aca="false">IFERROR(INDEX('Vehicle Register'!$S$5:$S$500, MATCH(7, 'Vehicle Register'!$X$5:$X$500, 0)), "")</f>
        <v>1600</v>
      </c>
      <c r="T11" s="18" t="n">
        <f aca="false">IFERROR(INDEX('Vehicle Register'!$T$5:$T$500, MATCH(7, 'Vehicle Register'!$X$5:$X$500, 0)), "")</f>
        <v>28</v>
      </c>
      <c r="U11" s="20" t="n">
        <f aca="false">IFERROR(INDEX('Vehicle Register'!$U$5:$U$500, MATCH(7, 'Vehicle Register'!$X$5:$X$500, 0)), "")</f>
        <v>300</v>
      </c>
      <c r="V11" s="21" t="n">
        <f aca="false">IFERROR(INDEX('Vehicle Register'!$V$5:$V$500, MATCH(7, 'Vehicle Register'!$X$5:$X$500, 0)), "")</f>
        <v>0.1875</v>
      </c>
      <c r="W11" s="22" t="n">
        <f aca="false">IFERROR(INDEX('Vehicle Register'!$W$5:$W$500, MATCH(7, 'Vehicle Register'!$X$5:$X$500, 0)), "")</f>
        <v>46174</v>
      </c>
    </row>
    <row r="12" customFormat="false" ht="15" hidden="false" customHeight="false" outlineLevel="0" collapsed="false">
      <c r="A12" s="18" t="str">
        <f aca="false">IFERROR(INDEX('Vehicle Register'!$A$5:$A$500, MATCH(8, 'Vehicle Register'!$X$5:$X$500, 0)), "")</f>
        <v>RM-0008</v>
      </c>
      <c r="B12" s="18" t="str">
        <f aca="false">IFERROR(INDEX('Vehicle Register'!$B$5:$B$500, MATCH(8, 'Vehicle Register'!$X$5:$X$500, 0)), "")</f>
        <v>Sold</v>
      </c>
      <c r="C12" s="18" t="str">
        <f aca="false">IFERROR(INDEX('Vehicle Register'!$C$5:$C$500, MATCH(8, 'Vehicle Register'!$X$5:$X$500, 0)), "")</f>
        <v>New</v>
      </c>
      <c r="D12" s="18" t="str">
        <f aca="false">IFERROR(INDEX('Vehicle Register'!$D$5:$D$500, MATCH(8, 'Vehicle Register'!$X$5:$X$500, 0)), "")</f>
        <v>Honda</v>
      </c>
      <c r="E12" s="18" t="str">
        <f aca="false">IFERROR(INDEX('Vehicle Register'!$E$5:$E$500, MATCH(8, 'Vehicle Register'!$X$5:$X$500, 0)), "")</f>
        <v>Honda Scoopy i</v>
      </c>
      <c r="F12" s="18" t="n">
        <f aca="false">IFERROR(INDEX('Vehicle Register'!$F$5:$F$500, MATCH(8, 'Vehicle Register'!$X$5:$X$500, 0)), "")</f>
        <v>2026</v>
      </c>
      <c r="G12" s="18" t="str">
        <f aca="false">IFERROR(INDEX('Vehicle Register'!$G$5:$G$500, MATCH(8, 'Vehicle Register'!$X$5:$X$500, 0)), "")</f>
        <v>White</v>
      </c>
      <c r="H12" s="18" t="str">
        <f aca="false">IFERROR(INDEX('Vehicle Register'!$H$5:$H$500, MATCH(8, 'Vehicle Register'!$X$5:$X$500, 0)), "")</f>
        <v>JC30E-550402</v>
      </c>
      <c r="I12" s="18" t="str">
        <f aca="false">IFERROR(INDEX('Vehicle Register'!$I$5:$I$500, MATCH(8, 'Vehicle Register'!$X$5:$X$500, 0)), "")</f>
        <v>MLHJC30E5P8550402</v>
      </c>
      <c r="J12" s="18" t="str">
        <f aca="false">IFERROR(INDEX('Vehicle Register'!$J$5:$J$500, MATCH(8, 'Vehicle Register'!$X$5:$X$500, 0)), "")</f>
        <v>2AA-1070</v>
      </c>
      <c r="K12" s="19" t="n">
        <f aca="false">IFERROR(INDEX('Vehicle Register'!$K$5:$K$500, MATCH(8, 'Vehicle Register'!$X$5:$X$500, 0)), "")</f>
        <v>46174</v>
      </c>
      <c r="L12" s="20" t="n">
        <f aca="false">IFERROR(INDEX('Vehicle Register'!$L$5:$L$500, MATCH(8, 'Vehicle Register'!$X$5:$X$500, 0)), "")</f>
        <v>1600</v>
      </c>
      <c r="M12" s="20" t="n">
        <f aca="false">IFERROR(INDEX('Vehicle Register'!$M$5:$M$500, MATCH(8, 'Vehicle Register'!$X$5:$X$500, 0)), "")</f>
        <v>0</v>
      </c>
      <c r="N12" s="20" t="n">
        <f aca="false">IFERROR(INDEX('Vehicle Register'!$N$5:$N$500, MATCH(8, 'Vehicle Register'!$X$5:$X$500, 0)), "")</f>
        <v>1600</v>
      </c>
      <c r="O12" s="18" t="str">
        <f aca="false">IFERROR(INDEX('Vehicle Register'!$O$5:$O$500, MATCH(8, 'Vehicle Register'!$X$5:$X$500, 0)), "")</f>
        <v>Complete</v>
      </c>
      <c r="P12" s="18" t="n">
        <f aca="false">IFERROR(INDEX('Vehicle Register'!$P$5:$P$500, MATCH(8, 'Vehicle Register'!$X$5:$X$500, 0)), "")</f>
        <v>0</v>
      </c>
      <c r="Q12" s="20" t="n">
        <f aca="false">IFERROR(INDEX('Vehicle Register'!$Q$5:$Q$500, MATCH(8, 'Vehicle Register'!$X$5:$X$500, 0)), "")</f>
        <v>1950</v>
      </c>
      <c r="R12" s="19" t="n">
        <f aca="false">IFERROR(INDEX('Vehicle Register'!$R$5:$R$500, MATCH(8, 'Vehicle Register'!$X$5:$X$500, 0)), "")</f>
        <v>46205</v>
      </c>
      <c r="S12" s="20" t="n">
        <f aca="false">IFERROR(INDEX('Vehicle Register'!$S$5:$S$500, MATCH(8, 'Vehicle Register'!$X$5:$X$500, 0)), "")</f>
        <v>1950</v>
      </c>
      <c r="T12" s="18" t="n">
        <f aca="false">IFERROR(INDEX('Vehicle Register'!$T$5:$T$500, MATCH(8, 'Vehicle Register'!$X$5:$X$500, 0)), "")</f>
        <v>31</v>
      </c>
      <c r="U12" s="20" t="n">
        <f aca="false">IFERROR(INDEX('Vehicle Register'!$U$5:$U$500, MATCH(8, 'Vehicle Register'!$X$5:$X$500, 0)), "")</f>
        <v>350</v>
      </c>
      <c r="V12" s="21" t="n">
        <f aca="false">IFERROR(INDEX('Vehicle Register'!$V$5:$V$500, MATCH(8, 'Vehicle Register'!$X$5:$X$500, 0)), "")</f>
        <v>0.17948717948718</v>
      </c>
      <c r="W12" s="22" t="n">
        <f aca="false">IFERROR(INDEX('Vehicle Register'!$W$5:$W$500, MATCH(8, 'Vehicle Register'!$X$5:$X$500, 0)), "")</f>
        <v>46204</v>
      </c>
    </row>
    <row r="13" customFormat="false" ht="15" hidden="false" customHeight="false" outlineLevel="0" collapsed="false">
      <c r="A13" s="18" t="str">
        <f aca="false">IFERROR(INDEX('Vehicle Register'!$A$5:$A$500, MATCH(9, 'Vehicle Register'!$X$5:$X$500, 0)), "")</f>
        <v>RM-0009</v>
      </c>
      <c r="B13" s="18" t="str">
        <f aca="false">IFERROR(INDEX('Vehicle Register'!$B$5:$B$500, MATCH(9, 'Vehicle Register'!$X$5:$X$500, 0)), "")</f>
        <v>Sold</v>
      </c>
      <c r="C13" s="18" t="str">
        <f aca="false">IFERROR(INDEX('Vehicle Register'!$C$5:$C$500, MATCH(9, 'Vehicle Register'!$X$5:$X$500, 0)), "")</f>
        <v>New</v>
      </c>
      <c r="D13" s="18" t="str">
        <f aca="false">IFERROR(INDEX('Vehicle Register'!$D$5:$D$500, MATCH(9, 'Vehicle Register'!$X$5:$X$500, 0)), "")</f>
        <v>Honda</v>
      </c>
      <c r="E13" s="18" t="str">
        <f aca="false">IFERROR(INDEX('Vehicle Register'!$E$5:$E$500, MATCH(9, 'Vehicle Register'!$X$5:$X$500, 0)), "")</f>
        <v>Honda Scoopy i</v>
      </c>
      <c r="F13" s="18" t="n">
        <f aca="false">IFERROR(INDEX('Vehicle Register'!$F$5:$F$500, MATCH(9, 'Vehicle Register'!$X$5:$X$500, 0)), "")</f>
        <v>2026</v>
      </c>
      <c r="G13" s="18" t="str">
        <f aca="false">IFERROR(INDEX('Vehicle Register'!$G$5:$G$500, MATCH(9, 'Vehicle Register'!$X$5:$X$500, 0)), "")</f>
        <v>Pink</v>
      </c>
      <c r="H13" s="18" t="str">
        <f aca="false">IFERROR(INDEX('Vehicle Register'!$H$5:$H$500, MATCH(9, 'Vehicle Register'!$X$5:$X$500, 0)), "")</f>
        <v>JC30E-550403</v>
      </c>
      <c r="I13" s="18" t="str">
        <f aca="false">IFERROR(INDEX('Vehicle Register'!$I$5:$I$500, MATCH(9, 'Vehicle Register'!$X$5:$X$500, 0)), "")</f>
        <v>MLHJC30E5P8550403</v>
      </c>
      <c r="J13" s="18" t="str">
        <f aca="false">IFERROR(INDEX('Vehicle Register'!$J$5:$J$500, MATCH(9, 'Vehicle Register'!$X$5:$X$500, 0)), "")</f>
        <v>2AA-1071</v>
      </c>
      <c r="K13" s="19" t="n">
        <f aca="false">IFERROR(INDEX('Vehicle Register'!$K$5:$K$500, MATCH(9, 'Vehicle Register'!$X$5:$X$500, 0)), "")</f>
        <v>46174</v>
      </c>
      <c r="L13" s="20" t="n">
        <f aca="false">IFERROR(INDEX('Vehicle Register'!$L$5:$L$500, MATCH(9, 'Vehicle Register'!$X$5:$X$500, 0)), "")</f>
        <v>1600</v>
      </c>
      <c r="M13" s="20" t="n">
        <f aca="false">IFERROR(INDEX('Vehicle Register'!$M$5:$M$500, MATCH(9, 'Vehicle Register'!$X$5:$X$500, 0)), "")</f>
        <v>0</v>
      </c>
      <c r="N13" s="20" t="n">
        <f aca="false">IFERROR(INDEX('Vehicle Register'!$N$5:$N$500, MATCH(9, 'Vehicle Register'!$X$5:$X$500, 0)), "")</f>
        <v>1600</v>
      </c>
      <c r="O13" s="18" t="str">
        <f aca="false">IFERROR(INDEX('Vehicle Register'!$O$5:$O$500, MATCH(9, 'Vehicle Register'!$X$5:$X$500, 0)), "")</f>
        <v>Complete</v>
      </c>
      <c r="P13" s="18" t="n">
        <f aca="false">IFERROR(INDEX('Vehicle Register'!$P$5:$P$500, MATCH(9, 'Vehicle Register'!$X$5:$X$500, 0)), "")</f>
        <v>0</v>
      </c>
      <c r="Q13" s="20" t="n">
        <f aca="false">IFERROR(INDEX('Vehicle Register'!$Q$5:$Q$500, MATCH(9, 'Vehicle Register'!$X$5:$X$500, 0)), "")</f>
        <v>1950</v>
      </c>
      <c r="R13" s="19" t="n">
        <f aca="false">IFERROR(INDEX('Vehicle Register'!$R$5:$R$500, MATCH(9, 'Vehicle Register'!$X$5:$X$500, 0)), "")</f>
        <v>46205</v>
      </c>
      <c r="S13" s="20" t="n">
        <f aca="false">IFERROR(INDEX('Vehicle Register'!$S$5:$S$500, MATCH(9, 'Vehicle Register'!$X$5:$X$500, 0)), "")</f>
        <v>1950</v>
      </c>
      <c r="T13" s="18" t="n">
        <f aca="false">IFERROR(INDEX('Vehicle Register'!$T$5:$T$500, MATCH(9, 'Vehicle Register'!$X$5:$X$500, 0)), "")</f>
        <v>31</v>
      </c>
      <c r="U13" s="20" t="n">
        <f aca="false">IFERROR(INDEX('Vehicle Register'!$U$5:$U$500, MATCH(9, 'Vehicle Register'!$X$5:$X$500, 0)), "")</f>
        <v>350</v>
      </c>
      <c r="V13" s="21" t="n">
        <f aca="false">IFERROR(INDEX('Vehicle Register'!$V$5:$V$500, MATCH(9, 'Vehicle Register'!$X$5:$X$500, 0)), "")</f>
        <v>0.17948717948718</v>
      </c>
      <c r="W13" s="22" t="n">
        <f aca="false">IFERROR(INDEX('Vehicle Register'!$W$5:$W$500, MATCH(9, 'Vehicle Register'!$X$5:$X$500, 0)), "")</f>
        <v>46204</v>
      </c>
    </row>
    <row r="14" customFormat="false" ht="15" hidden="false" customHeight="false" outlineLevel="0" collapsed="false">
      <c r="A14" s="18" t="str">
        <f aca="false">IFERROR(INDEX('Vehicle Register'!$A$5:$A$500, MATCH(10, 'Vehicle Register'!$X$5:$X$500, 0)), "")</f>
        <v>RM-0010</v>
      </c>
      <c r="B14" s="18" t="str">
        <f aca="false">IFERROR(INDEX('Vehicle Register'!$B$5:$B$500, MATCH(10, 'Vehicle Register'!$X$5:$X$500, 0)), "")</f>
        <v>Sold</v>
      </c>
      <c r="C14" s="18" t="str">
        <f aca="false">IFERROR(INDEX('Vehicle Register'!$C$5:$C$500, MATCH(10, 'Vehicle Register'!$X$5:$X$500, 0)), "")</f>
        <v>New</v>
      </c>
      <c r="D14" s="18" t="str">
        <f aca="false">IFERROR(INDEX('Vehicle Register'!$D$5:$D$500, MATCH(10, 'Vehicle Register'!$X$5:$X$500, 0)), "")</f>
        <v>Honda</v>
      </c>
      <c r="E14" s="18" t="str">
        <f aca="false">IFERROR(INDEX('Vehicle Register'!$E$5:$E$500, MATCH(10, 'Vehicle Register'!$X$5:$X$500, 0)), "")</f>
        <v>Honda Future 125</v>
      </c>
      <c r="F14" s="18" t="n">
        <f aca="false">IFERROR(INDEX('Vehicle Register'!$F$5:$F$500, MATCH(10, 'Vehicle Register'!$X$5:$X$500, 0)), "")</f>
        <v>2026</v>
      </c>
      <c r="G14" s="18" t="str">
        <f aca="false">IFERROR(INDEX('Vehicle Register'!$G$5:$G$500, MATCH(10, 'Vehicle Register'!$X$5:$X$500, 0)), "")</f>
        <v>Blue</v>
      </c>
      <c r="H14" s="18" t="str">
        <f aca="false">IFERROR(INDEX('Vehicle Register'!$H$5:$H$500, MATCH(10, 'Vehicle Register'!$X$5:$X$500, 0)), "")</f>
        <v>JD44E-660512</v>
      </c>
      <c r="I14" s="18" t="str">
        <f aca="false">IFERROR(INDEX('Vehicle Register'!$I$5:$I$500, MATCH(10, 'Vehicle Register'!$X$5:$X$500, 0)), "")</f>
        <v>MLHJD44E6P8660512</v>
      </c>
      <c r="J14" s="18" t="str">
        <f aca="false">IFERROR(INDEX('Vehicle Register'!$J$5:$J$500, MATCH(10, 'Vehicle Register'!$X$5:$X$500, 0)), "")</f>
        <v>2AA-1080</v>
      </c>
      <c r="K14" s="19" t="n">
        <f aca="false">IFERROR(INDEX('Vehicle Register'!$K$5:$K$500, MATCH(10, 'Vehicle Register'!$X$5:$X$500, 0)), "")</f>
        <v>46176</v>
      </c>
      <c r="L14" s="20" t="n">
        <f aca="false">IFERROR(INDEX('Vehicle Register'!$L$5:$L$500, MATCH(10, 'Vehicle Register'!$X$5:$X$500, 0)), "")</f>
        <v>1580</v>
      </c>
      <c r="M14" s="20" t="n">
        <f aca="false">IFERROR(INDEX('Vehicle Register'!$M$5:$M$500, MATCH(10, 'Vehicle Register'!$X$5:$X$500, 0)), "")</f>
        <v>0</v>
      </c>
      <c r="N14" s="20" t="n">
        <f aca="false">IFERROR(INDEX('Vehicle Register'!$N$5:$N$500, MATCH(10, 'Vehicle Register'!$X$5:$X$500, 0)), "")</f>
        <v>1580</v>
      </c>
      <c r="O14" s="18" t="str">
        <f aca="false">IFERROR(INDEX('Vehicle Register'!$O$5:$O$500, MATCH(10, 'Vehicle Register'!$X$5:$X$500, 0)), "")</f>
        <v>Complete</v>
      </c>
      <c r="P14" s="18" t="n">
        <f aca="false">IFERROR(INDEX('Vehicle Register'!$P$5:$P$500, MATCH(10, 'Vehicle Register'!$X$5:$X$500, 0)), "")</f>
        <v>0</v>
      </c>
      <c r="Q14" s="20" t="n">
        <f aca="false">IFERROR(INDEX('Vehicle Register'!$Q$5:$Q$500, MATCH(10, 'Vehicle Register'!$X$5:$X$500, 0)), "")</f>
        <v>1900</v>
      </c>
      <c r="R14" s="19" t="n">
        <f aca="false">IFERROR(INDEX('Vehicle Register'!$R$5:$R$500, MATCH(10, 'Vehicle Register'!$X$5:$X$500, 0)), "")</f>
        <v>46212</v>
      </c>
      <c r="S14" s="20" t="n">
        <f aca="false">IFERROR(INDEX('Vehicle Register'!$S$5:$S$500, MATCH(10, 'Vehicle Register'!$X$5:$X$500, 0)), "")</f>
        <v>1900</v>
      </c>
      <c r="T14" s="18" t="n">
        <f aca="false">IFERROR(INDEX('Vehicle Register'!$T$5:$T$500, MATCH(10, 'Vehicle Register'!$X$5:$X$500, 0)), "")</f>
        <v>36</v>
      </c>
      <c r="U14" s="20" t="n">
        <f aca="false">IFERROR(INDEX('Vehicle Register'!$U$5:$U$500, MATCH(10, 'Vehicle Register'!$X$5:$X$500, 0)), "")</f>
        <v>320</v>
      </c>
      <c r="V14" s="21" t="n">
        <f aca="false">IFERROR(INDEX('Vehicle Register'!$V$5:$V$500, MATCH(10, 'Vehicle Register'!$X$5:$X$500, 0)), "")</f>
        <v>0.168421052631579</v>
      </c>
      <c r="W14" s="22" t="n">
        <f aca="false">IFERROR(INDEX('Vehicle Register'!$W$5:$W$500, MATCH(10, 'Vehicle Register'!$X$5:$X$500, 0)), "")</f>
        <v>46204</v>
      </c>
    </row>
    <row r="15" customFormat="false" ht="15" hidden="false" customHeight="false" outlineLevel="0" collapsed="false">
      <c r="A15" s="18" t="str">
        <f aca="false">IFERROR(INDEX('Vehicle Register'!$A$5:$A$500, MATCH(11, 'Vehicle Register'!$X$5:$X$500, 0)), "")</f>
        <v>RM-0014</v>
      </c>
      <c r="B15" s="18" t="str">
        <f aca="false">IFERROR(INDEX('Vehicle Register'!$B$5:$B$500, MATCH(11, 'Vehicle Register'!$X$5:$X$500, 0)), "")</f>
        <v>Sold</v>
      </c>
      <c r="C15" s="18" t="str">
        <f aca="false">IFERROR(INDEX('Vehicle Register'!$C$5:$C$500, MATCH(11, 'Vehicle Register'!$X$5:$X$500, 0)), "")</f>
        <v>New</v>
      </c>
      <c r="D15" s="18" t="str">
        <f aca="false">IFERROR(INDEX('Vehicle Register'!$D$5:$D$500, MATCH(11, 'Vehicle Register'!$X$5:$X$500, 0)), "")</f>
        <v>Yamaha</v>
      </c>
      <c r="E15" s="18" t="str">
        <f aca="false">IFERROR(INDEX('Vehicle Register'!$E$5:$E$500, MATCH(11, 'Vehicle Register'!$X$5:$X$500, 0)), "")</f>
        <v>Yamaha NMAX 155</v>
      </c>
      <c r="F15" s="18" t="n">
        <f aca="false">IFERROR(INDEX('Vehicle Register'!$F$5:$F$500, MATCH(11, 'Vehicle Register'!$X$5:$X$500, 0)), "")</f>
        <v>2026</v>
      </c>
      <c r="G15" s="18" t="str">
        <f aca="false">IFERROR(INDEX('Vehicle Register'!$G$5:$G$500, MATCH(11, 'Vehicle Register'!$X$5:$X$500, 0)), "")</f>
        <v>Gray</v>
      </c>
      <c r="H15" s="18" t="str">
        <f aca="false">IFERROR(INDEX('Vehicle Register'!$H$5:$H$500, MATCH(11, 'Vehicle Register'!$X$5:$X$500, 0)), "")</f>
        <v>2DP-005521</v>
      </c>
      <c r="I15" s="18" t="str">
        <f aca="false">IFERROR(INDEX('Vehicle Register'!$I$5:$I$500, MATCH(11, 'Vehicle Register'!$X$5:$X$500, 0)), "")</f>
        <v>MH32DP005TK005521</v>
      </c>
      <c r="J15" s="18" t="str">
        <f aca="false">IFERROR(INDEX('Vehicle Register'!$J$5:$J$500, MATCH(11, 'Vehicle Register'!$X$5:$X$500, 0)), "")</f>
        <v>2AA-1102</v>
      </c>
      <c r="K15" s="19" t="n">
        <f aca="false">IFERROR(INDEX('Vehicle Register'!$K$5:$K$500, MATCH(11, 'Vehicle Register'!$X$5:$X$500, 0)), "")</f>
        <v>46185</v>
      </c>
      <c r="L15" s="20" t="n">
        <f aca="false">IFERROR(INDEX('Vehicle Register'!$L$5:$L$500, MATCH(11, 'Vehicle Register'!$X$5:$X$500, 0)), "")</f>
        <v>3050</v>
      </c>
      <c r="M15" s="20" t="n">
        <f aca="false">IFERROR(INDEX('Vehicle Register'!$M$5:$M$500, MATCH(11, 'Vehicle Register'!$X$5:$X$500, 0)), "")</f>
        <v>0</v>
      </c>
      <c r="N15" s="20" t="n">
        <f aca="false">IFERROR(INDEX('Vehicle Register'!$N$5:$N$500, MATCH(11, 'Vehicle Register'!$X$5:$X$500, 0)), "")</f>
        <v>3050</v>
      </c>
      <c r="O15" s="18" t="str">
        <f aca="false">IFERROR(INDEX('Vehicle Register'!$O$5:$O$500, MATCH(11, 'Vehicle Register'!$X$5:$X$500, 0)), "")</f>
        <v>Complete</v>
      </c>
      <c r="P15" s="18" t="n">
        <f aca="false">IFERROR(INDEX('Vehicle Register'!$P$5:$P$500, MATCH(11, 'Vehicle Register'!$X$5:$X$500, 0)), "")</f>
        <v>0</v>
      </c>
      <c r="Q15" s="20" t="n">
        <f aca="false">IFERROR(INDEX('Vehicle Register'!$Q$5:$Q$500, MATCH(11, 'Vehicle Register'!$X$5:$X$500, 0)), "")</f>
        <v>3600</v>
      </c>
      <c r="R15" s="19" t="n">
        <f aca="false">IFERROR(INDEX('Vehicle Register'!$R$5:$R$500, MATCH(11, 'Vehicle Register'!$X$5:$X$500, 0)), "")</f>
        <v>46225</v>
      </c>
      <c r="S15" s="20" t="n">
        <f aca="false">IFERROR(INDEX('Vehicle Register'!$S$5:$S$500, MATCH(11, 'Vehicle Register'!$X$5:$X$500, 0)), "")</f>
        <v>3600</v>
      </c>
      <c r="T15" s="18" t="n">
        <f aca="false">IFERROR(INDEX('Vehicle Register'!$T$5:$T$500, MATCH(11, 'Vehicle Register'!$X$5:$X$500, 0)), "")</f>
        <v>40</v>
      </c>
      <c r="U15" s="20" t="n">
        <f aca="false">IFERROR(INDEX('Vehicle Register'!$U$5:$U$500, MATCH(11, 'Vehicle Register'!$X$5:$X$500, 0)), "")</f>
        <v>550</v>
      </c>
      <c r="V15" s="21" t="n">
        <f aca="false">IFERROR(INDEX('Vehicle Register'!$V$5:$V$500, MATCH(11, 'Vehicle Register'!$X$5:$X$500, 0)), "")</f>
        <v>0.152777777777778</v>
      </c>
      <c r="W15" s="22" t="n">
        <f aca="false">IFERROR(INDEX('Vehicle Register'!$W$5:$W$500, MATCH(11, 'Vehicle Register'!$X$5:$X$500, 0)), "")</f>
        <v>46204</v>
      </c>
    </row>
    <row r="16" customFormat="false" ht="15" hidden="false" customHeight="false" outlineLevel="0" collapsed="false">
      <c r="A16" s="18" t="str">
        <f aca="false">IFERROR(INDEX('Vehicle Register'!$A$5:$A$500, MATCH(12, 'Vehicle Register'!$X$5:$X$500, 0)), "")</f>
        <v>RM-0017</v>
      </c>
      <c r="B16" s="18" t="str">
        <f aca="false">IFERROR(INDEX('Vehicle Register'!$B$5:$B$500, MATCH(12, 'Vehicle Register'!$X$5:$X$500, 0)), "")</f>
        <v>Sold</v>
      </c>
      <c r="C16" s="18" t="str">
        <f aca="false">IFERROR(INDEX('Vehicle Register'!$C$5:$C$500, MATCH(12, 'Vehicle Register'!$X$5:$X$500, 0)), "")</f>
        <v>New</v>
      </c>
      <c r="D16" s="18" t="str">
        <f aca="false">IFERROR(INDEX('Vehicle Register'!$D$5:$D$500, MATCH(12, 'Vehicle Register'!$X$5:$X$500, 0)), "")</f>
        <v>Honda</v>
      </c>
      <c r="E16" s="18" t="str">
        <f aca="false">IFERROR(INDEX('Vehicle Register'!$E$5:$E$500, MATCH(12, 'Vehicle Register'!$X$5:$X$500, 0)), "")</f>
        <v>Honda Air Blade 125</v>
      </c>
      <c r="F16" s="18" t="n">
        <f aca="false">IFERROR(INDEX('Vehicle Register'!$F$5:$F$500, MATCH(12, 'Vehicle Register'!$X$5:$X$500, 0)), "")</f>
        <v>2026</v>
      </c>
      <c r="G16" s="18" t="str">
        <f aca="false">IFERROR(INDEX('Vehicle Register'!$G$5:$G$500, MATCH(12, 'Vehicle Register'!$X$5:$X$500, 0)), "")</f>
        <v>Matte Black</v>
      </c>
      <c r="H16" s="18" t="str">
        <f aca="false">IFERROR(INDEX('Vehicle Register'!$H$5:$H$500, MATCH(12, 'Vehicle Register'!$X$5:$X$500, 0)), "")</f>
        <v>JG10E-770601</v>
      </c>
      <c r="I16" s="18" t="str">
        <f aca="false">IFERROR(INDEX('Vehicle Register'!$I$5:$I$500, MATCH(12, 'Vehicle Register'!$X$5:$X$500, 0)), "")</f>
        <v>MLHJG10E7P8770601</v>
      </c>
      <c r="J16" s="18" t="str">
        <f aca="false">IFERROR(INDEX('Vehicle Register'!$J$5:$J$500, MATCH(12, 'Vehicle Register'!$X$5:$X$500, 0)), "")</f>
        <v>2AA-1130</v>
      </c>
      <c r="K16" s="19" t="n">
        <f aca="false">IFERROR(INDEX('Vehicle Register'!$K$5:$K$500, MATCH(12, 'Vehicle Register'!$X$5:$X$500, 0)), "")</f>
        <v>46204</v>
      </c>
      <c r="L16" s="20" t="n">
        <f aca="false">IFERROR(INDEX('Vehicle Register'!$L$5:$L$500, MATCH(12, 'Vehicle Register'!$X$5:$X$500, 0)), "")</f>
        <v>2050</v>
      </c>
      <c r="M16" s="20" t="n">
        <f aca="false">IFERROR(INDEX('Vehicle Register'!$M$5:$M$500, MATCH(12, 'Vehicle Register'!$X$5:$X$500, 0)), "")</f>
        <v>0</v>
      </c>
      <c r="N16" s="20" t="n">
        <f aca="false">IFERROR(INDEX('Vehicle Register'!$N$5:$N$500, MATCH(12, 'Vehicle Register'!$X$5:$X$500, 0)), "")</f>
        <v>2050</v>
      </c>
      <c r="O16" s="18" t="str">
        <f aca="false">IFERROR(INDEX('Vehicle Register'!$O$5:$O$500, MATCH(12, 'Vehicle Register'!$X$5:$X$500, 0)), "")</f>
        <v>Complete</v>
      </c>
      <c r="P16" s="18" t="n">
        <f aca="false">IFERROR(INDEX('Vehicle Register'!$P$5:$P$500, MATCH(12, 'Vehicle Register'!$X$5:$X$500, 0)), "")</f>
        <v>0</v>
      </c>
      <c r="Q16" s="20" t="n">
        <f aca="false">IFERROR(INDEX('Vehicle Register'!$Q$5:$Q$500, MATCH(12, 'Vehicle Register'!$X$5:$X$500, 0)), "")</f>
        <v>2450</v>
      </c>
      <c r="R16" s="19" t="n">
        <f aca="false">IFERROR(INDEX('Vehicle Register'!$R$5:$R$500, MATCH(12, 'Vehicle Register'!$X$5:$X$500, 0)), "")</f>
        <v>46238</v>
      </c>
      <c r="S16" s="20" t="n">
        <f aca="false">IFERROR(INDEX('Vehicle Register'!$S$5:$S$500, MATCH(12, 'Vehicle Register'!$X$5:$X$500, 0)), "")</f>
        <v>2450</v>
      </c>
      <c r="T16" s="18" t="n">
        <f aca="false">IFERROR(INDEX('Vehicle Register'!$T$5:$T$500, MATCH(12, 'Vehicle Register'!$X$5:$X$500, 0)), "")</f>
        <v>34</v>
      </c>
      <c r="U16" s="20" t="n">
        <f aca="false">IFERROR(INDEX('Vehicle Register'!$U$5:$U$500, MATCH(12, 'Vehicle Register'!$X$5:$X$500, 0)), "")</f>
        <v>400</v>
      </c>
      <c r="V16" s="21" t="n">
        <f aca="false">IFERROR(INDEX('Vehicle Register'!$V$5:$V$500, MATCH(12, 'Vehicle Register'!$X$5:$X$500, 0)), "")</f>
        <v>0.163265306122449</v>
      </c>
      <c r="W16" s="22" t="n">
        <f aca="false">IFERROR(INDEX('Vehicle Register'!$W$5:$W$500, MATCH(12, 'Vehicle Register'!$X$5:$X$500, 0)), "")</f>
        <v>46235</v>
      </c>
    </row>
    <row r="17" customFormat="false" ht="15" hidden="false" customHeight="false" outlineLevel="0" collapsed="false">
      <c r="A17" s="18" t="str">
        <f aca="false">IFERROR(INDEX('Vehicle Register'!$A$5:$A$500, MATCH(13, 'Vehicle Register'!$X$5:$X$500, 0)), "")</f>
        <v>RM-0018</v>
      </c>
      <c r="B17" s="18" t="str">
        <f aca="false">IFERROR(INDEX('Vehicle Register'!$B$5:$B$500, MATCH(13, 'Vehicle Register'!$X$5:$X$500, 0)), "")</f>
        <v>Sold</v>
      </c>
      <c r="C17" s="18" t="str">
        <f aca="false">IFERROR(INDEX('Vehicle Register'!$C$5:$C$500, MATCH(13, 'Vehicle Register'!$X$5:$X$500, 0)), "")</f>
        <v>New</v>
      </c>
      <c r="D17" s="18" t="str">
        <f aca="false">IFERROR(INDEX('Vehicle Register'!$D$5:$D$500, MATCH(13, 'Vehicle Register'!$X$5:$X$500, 0)), "")</f>
        <v>Honda</v>
      </c>
      <c r="E17" s="18" t="str">
        <f aca="false">IFERROR(INDEX('Vehicle Register'!$E$5:$E$500, MATCH(13, 'Vehicle Register'!$X$5:$X$500, 0)), "")</f>
        <v>Honda Click 125i</v>
      </c>
      <c r="F17" s="18" t="n">
        <f aca="false">IFERROR(INDEX('Vehicle Register'!$F$5:$F$500, MATCH(13, 'Vehicle Register'!$X$5:$X$500, 0)), "")</f>
        <v>2026</v>
      </c>
      <c r="G17" s="18" t="str">
        <f aca="false">IFERROR(INDEX('Vehicle Register'!$G$5:$G$500, MATCH(13, 'Vehicle Register'!$X$5:$X$500, 0)), "")</f>
        <v>Red</v>
      </c>
      <c r="H17" s="18" t="str">
        <f aca="false">IFERROR(INDEX('Vehicle Register'!$H$5:$H$500, MATCH(13, 'Vehicle Register'!$X$5:$X$500, 0)), "")</f>
        <v>JF71E-330211</v>
      </c>
      <c r="I17" s="18" t="str">
        <f aca="false">IFERROR(INDEX('Vehicle Register'!$I$5:$I$500, MATCH(13, 'Vehicle Register'!$X$5:$X$500, 0)), "")</f>
        <v>MLHJF71E3P8330211</v>
      </c>
      <c r="J17" s="18" t="str">
        <f aca="false">IFERROR(INDEX('Vehicle Register'!$J$5:$J$500, MATCH(13, 'Vehicle Register'!$X$5:$X$500, 0)), "")</f>
        <v>2AA-1141</v>
      </c>
      <c r="K17" s="19" t="n">
        <f aca="false">IFERROR(INDEX('Vehicle Register'!$K$5:$K$500, MATCH(13, 'Vehicle Register'!$X$5:$X$500, 0)), "")</f>
        <v>46206</v>
      </c>
      <c r="L17" s="20" t="n">
        <f aca="false">IFERROR(INDEX('Vehicle Register'!$L$5:$L$500, MATCH(13, 'Vehicle Register'!$X$5:$X$500, 0)), "")</f>
        <v>1750</v>
      </c>
      <c r="M17" s="20" t="n">
        <f aca="false">IFERROR(INDEX('Vehicle Register'!$M$5:$M$500, MATCH(13, 'Vehicle Register'!$X$5:$X$500, 0)), "")</f>
        <v>0</v>
      </c>
      <c r="N17" s="20" t="n">
        <f aca="false">IFERROR(INDEX('Vehicle Register'!$N$5:$N$500, MATCH(13, 'Vehicle Register'!$X$5:$X$500, 0)), "")</f>
        <v>1750</v>
      </c>
      <c r="O17" s="18" t="str">
        <f aca="false">IFERROR(INDEX('Vehicle Register'!$O$5:$O$500, MATCH(13, 'Vehicle Register'!$X$5:$X$500, 0)), "")</f>
        <v>Complete</v>
      </c>
      <c r="P17" s="18" t="n">
        <f aca="false">IFERROR(INDEX('Vehicle Register'!$P$5:$P$500, MATCH(13, 'Vehicle Register'!$X$5:$X$500, 0)), "")</f>
        <v>0</v>
      </c>
      <c r="Q17" s="20" t="n">
        <f aca="false">IFERROR(INDEX('Vehicle Register'!$Q$5:$Q$500, MATCH(13, 'Vehicle Register'!$X$5:$X$500, 0)), "")</f>
        <v>2100</v>
      </c>
      <c r="R17" s="19" t="n">
        <f aca="false">IFERROR(INDEX('Vehicle Register'!$R$5:$R$500, MATCH(13, 'Vehicle Register'!$X$5:$X$500, 0)), "")</f>
        <v>46245</v>
      </c>
      <c r="S17" s="20" t="n">
        <f aca="false">IFERROR(INDEX('Vehicle Register'!$S$5:$S$500, MATCH(13, 'Vehicle Register'!$X$5:$X$500, 0)), "")</f>
        <v>2100</v>
      </c>
      <c r="T17" s="18" t="n">
        <f aca="false">IFERROR(INDEX('Vehicle Register'!$T$5:$T$500, MATCH(13, 'Vehicle Register'!$X$5:$X$500, 0)), "")</f>
        <v>39</v>
      </c>
      <c r="U17" s="20" t="n">
        <f aca="false">IFERROR(INDEX('Vehicle Register'!$U$5:$U$500, MATCH(13, 'Vehicle Register'!$X$5:$X$500, 0)), "")</f>
        <v>350</v>
      </c>
      <c r="V17" s="21" t="n">
        <f aca="false">IFERROR(INDEX('Vehicle Register'!$V$5:$V$500, MATCH(13, 'Vehicle Register'!$X$5:$X$500, 0)), "")</f>
        <v>0.166666666666667</v>
      </c>
      <c r="W17" s="22" t="n">
        <f aca="false">IFERROR(INDEX('Vehicle Register'!$W$5:$W$500, MATCH(13, 'Vehicle Register'!$X$5:$X$500, 0)), "")</f>
        <v>46235</v>
      </c>
    </row>
    <row r="18" customFormat="false" ht="15" hidden="false" customHeight="false" outlineLevel="0" collapsed="false">
      <c r="A18" s="18" t="str">
        <f aca="false">IFERROR(INDEX('Vehicle Register'!$A$5:$A$500, MATCH(14, 'Vehicle Register'!$X$5:$X$500, 0)), "")</f>
        <v>RM-0019</v>
      </c>
      <c r="B18" s="18" t="str">
        <f aca="false">IFERROR(INDEX('Vehicle Register'!$B$5:$B$500, MATCH(14, 'Vehicle Register'!$X$5:$X$500, 0)), "")</f>
        <v>Sold</v>
      </c>
      <c r="C18" s="18" t="str">
        <f aca="false">IFERROR(INDEX('Vehicle Register'!$C$5:$C$500, MATCH(14, 'Vehicle Register'!$X$5:$X$500, 0)), "")</f>
        <v>New</v>
      </c>
      <c r="D18" s="18" t="str">
        <f aca="false">IFERROR(INDEX('Vehicle Register'!$D$5:$D$500, MATCH(14, 'Vehicle Register'!$X$5:$X$500, 0)), "")</f>
        <v>Honda</v>
      </c>
      <c r="E18" s="18" t="str">
        <f aca="false">IFERROR(INDEX('Vehicle Register'!$E$5:$E$500, MATCH(14, 'Vehicle Register'!$X$5:$X$500, 0)), "")</f>
        <v>Honda Click 125i</v>
      </c>
      <c r="F18" s="18" t="n">
        <f aca="false">IFERROR(INDEX('Vehicle Register'!$F$5:$F$500, MATCH(14, 'Vehicle Register'!$X$5:$X$500, 0)), "")</f>
        <v>2026</v>
      </c>
      <c r="G18" s="18" t="str">
        <f aca="false">IFERROR(INDEX('Vehicle Register'!$G$5:$G$500, MATCH(14, 'Vehicle Register'!$X$5:$X$500, 0)), "")</f>
        <v>Black</v>
      </c>
      <c r="H18" s="18" t="str">
        <f aca="false">IFERROR(INDEX('Vehicle Register'!$H$5:$H$500, MATCH(14, 'Vehicle Register'!$X$5:$X$500, 0)), "")</f>
        <v>JF71E-330212</v>
      </c>
      <c r="I18" s="18" t="str">
        <f aca="false">IFERROR(INDEX('Vehicle Register'!$I$5:$I$500, MATCH(14, 'Vehicle Register'!$X$5:$X$500, 0)), "")</f>
        <v>MLHJF71E3P8330212</v>
      </c>
      <c r="J18" s="18" t="str">
        <f aca="false">IFERROR(INDEX('Vehicle Register'!$J$5:$J$500, MATCH(14, 'Vehicle Register'!$X$5:$X$500, 0)), "")</f>
        <v>2AA-1142</v>
      </c>
      <c r="K18" s="19" t="n">
        <f aca="false">IFERROR(INDEX('Vehicle Register'!$K$5:$K$500, MATCH(14, 'Vehicle Register'!$X$5:$X$500, 0)), "")</f>
        <v>46206</v>
      </c>
      <c r="L18" s="20" t="n">
        <f aca="false">IFERROR(INDEX('Vehicle Register'!$L$5:$L$500, MATCH(14, 'Vehicle Register'!$X$5:$X$500, 0)), "")</f>
        <v>1750</v>
      </c>
      <c r="M18" s="20" t="n">
        <f aca="false">IFERROR(INDEX('Vehicle Register'!$M$5:$M$500, MATCH(14, 'Vehicle Register'!$X$5:$X$500, 0)), "")</f>
        <v>0</v>
      </c>
      <c r="N18" s="20" t="n">
        <f aca="false">IFERROR(INDEX('Vehicle Register'!$N$5:$N$500, MATCH(14, 'Vehicle Register'!$X$5:$X$500, 0)), "")</f>
        <v>1750</v>
      </c>
      <c r="O18" s="18" t="str">
        <f aca="false">IFERROR(INDEX('Vehicle Register'!$O$5:$O$500, MATCH(14, 'Vehicle Register'!$X$5:$X$500, 0)), "")</f>
        <v>Complete</v>
      </c>
      <c r="P18" s="18" t="n">
        <f aca="false">IFERROR(INDEX('Vehicle Register'!$P$5:$P$500, MATCH(14, 'Vehicle Register'!$X$5:$X$500, 0)), "")</f>
        <v>0</v>
      </c>
      <c r="Q18" s="20" t="n">
        <f aca="false">IFERROR(INDEX('Vehicle Register'!$Q$5:$Q$500, MATCH(14, 'Vehicle Register'!$X$5:$X$500, 0)), "")</f>
        <v>2100</v>
      </c>
      <c r="R18" s="19" t="n">
        <f aca="false">IFERROR(INDEX('Vehicle Register'!$R$5:$R$500, MATCH(14, 'Vehicle Register'!$X$5:$X$500, 0)), "")</f>
        <v>46245</v>
      </c>
      <c r="S18" s="20" t="n">
        <f aca="false">IFERROR(INDEX('Vehicle Register'!$S$5:$S$500, MATCH(14, 'Vehicle Register'!$X$5:$X$500, 0)), "")</f>
        <v>2100</v>
      </c>
      <c r="T18" s="18" t="n">
        <f aca="false">IFERROR(INDEX('Vehicle Register'!$T$5:$T$500, MATCH(14, 'Vehicle Register'!$X$5:$X$500, 0)), "")</f>
        <v>39</v>
      </c>
      <c r="U18" s="20" t="n">
        <f aca="false">IFERROR(INDEX('Vehicle Register'!$U$5:$U$500, MATCH(14, 'Vehicle Register'!$X$5:$X$500, 0)), "")</f>
        <v>350</v>
      </c>
      <c r="V18" s="21" t="n">
        <f aca="false">IFERROR(INDEX('Vehicle Register'!$V$5:$V$500, MATCH(14, 'Vehicle Register'!$X$5:$X$500, 0)), "")</f>
        <v>0.166666666666667</v>
      </c>
      <c r="W18" s="22" t="n">
        <f aca="false">IFERROR(INDEX('Vehicle Register'!$W$5:$W$500, MATCH(14, 'Vehicle Register'!$X$5:$X$500, 0)), "")</f>
        <v>46235</v>
      </c>
    </row>
    <row r="19" customFormat="false" ht="15" hidden="false" customHeight="false" outlineLevel="0" collapsed="false">
      <c r="A19" s="18" t="str">
        <f aca="false">IFERROR(INDEX('Vehicle Register'!$A$5:$A$500, MATCH(15, 'Vehicle Register'!$X$5:$X$500, 0)), "")</f>
        <v>RM-0020</v>
      </c>
      <c r="B19" s="18" t="str">
        <f aca="false">IFERROR(INDEX('Vehicle Register'!$B$5:$B$500, MATCH(15, 'Vehicle Register'!$X$5:$X$500, 0)), "")</f>
        <v>Sold</v>
      </c>
      <c r="C19" s="18" t="str">
        <f aca="false">IFERROR(INDEX('Vehicle Register'!$C$5:$C$500, MATCH(15, 'Vehicle Register'!$X$5:$X$500, 0)), "")</f>
        <v>New</v>
      </c>
      <c r="D19" s="18" t="str">
        <f aca="false">IFERROR(INDEX('Vehicle Register'!$D$5:$D$500, MATCH(15, 'Vehicle Register'!$X$5:$X$500, 0)), "")</f>
        <v>Honda</v>
      </c>
      <c r="E19" s="18" t="str">
        <f aca="false">IFERROR(INDEX('Vehicle Register'!$E$5:$E$500, MATCH(15, 'Vehicle Register'!$X$5:$X$500, 0)), "")</f>
        <v>Honda Vario 125</v>
      </c>
      <c r="F19" s="18" t="n">
        <f aca="false">IFERROR(INDEX('Vehicle Register'!$F$5:$F$500, MATCH(15, 'Vehicle Register'!$X$5:$X$500, 0)), "")</f>
        <v>2026</v>
      </c>
      <c r="G19" s="18" t="str">
        <f aca="false">IFERROR(INDEX('Vehicle Register'!$G$5:$G$500, MATCH(15, 'Vehicle Register'!$X$5:$X$500, 0)), "")</f>
        <v>White</v>
      </c>
      <c r="H19" s="18" t="str">
        <f aca="false">IFERROR(INDEX('Vehicle Register'!$H$5:$H$500, MATCH(15, 'Vehicle Register'!$X$5:$X$500, 0)), "")</f>
        <v>JH22E-880711</v>
      </c>
      <c r="I19" s="18" t="str">
        <f aca="false">IFERROR(INDEX('Vehicle Register'!$I$5:$I$500, MATCH(15, 'Vehicle Register'!$X$5:$X$500, 0)), "")</f>
        <v>MLHJH22E8P8880711</v>
      </c>
      <c r="J19" s="18" t="str">
        <f aca="false">IFERROR(INDEX('Vehicle Register'!$J$5:$J$500, MATCH(15, 'Vehicle Register'!$X$5:$X$500, 0)), "")</f>
        <v>2AA-1150</v>
      </c>
      <c r="K19" s="19" t="n">
        <f aca="false">IFERROR(INDEX('Vehicle Register'!$K$5:$K$500, MATCH(15, 'Vehicle Register'!$X$5:$X$500, 0)), "")</f>
        <v>46208</v>
      </c>
      <c r="L19" s="20" t="n">
        <f aca="false">IFERROR(INDEX('Vehicle Register'!$L$5:$L$500, MATCH(15, 'Vehicle Register'!$X$5:$X$500, 0)), "")</f>
        <v>1850</v>
      </c>
      <c r="M19" s="20" t="n">
        <f aca="false">IFERROR(INDEX('Vehicle Register'!$M$5:$M$500, MATCH(15, 'Vehicle Register'!$X$5:$X$500, 0)), "")</f>
        <v>0</v>
      </c>
      <c r="N19" s="20" t="n">
        <f aca="false">IFERROR(INDEX('Vehicle Register'!$N$5:$N$500, MATCH(15, 'Vehicle Register'!$X$5:$X$500, 0)), "")</f>
        <v>1850</v>
      </c>
      <c r="O19" s="18" t="str">
        <f aca="false">IFERROR(INDEX('Vehicle Register'!$O$5:$O$500, MATCH(15, 'Vehicle Register'!$X$5:$X$500, 0)), "")</f>
        <v>Complete</v>
      </c>
      <c r="P19" s="18" t="n">
        <f aca="false">IFERROR(INDEX('Vehicle Register'!$P$5:$P$500, MATCH(15, 'Vehicle Register'!$X$5:$X$500, 0)), "")</f>
        <v>0</v>
      </c>
      <c r="Q19" s="20" t="n">
        <f aca="false">IFERROR(INDEX('Vehicle Register'!$Q$5:$Q$500, MATCH(15, 'Vehicle Register'!$X$5:$X$500, 0)), "")</f>
        <v>2200</v>
      </c>
      <c r="R19" s="19" t="n">
        <f aca="false">IFERROR(INDEX('Vehicle Register'!$R$5:$R$500, MATCH(15, 'Vehicle Register'!$X$5:$X$500, 0)), "")</f>
        <v>46252</v>
      </c>
      <c r="S19" s="20" t="n">
        <f aca="false">IFERROR(INDEX('Vehicle Register'!$S$5:$S$500, MATCH(15, 'Vehicle Register'!$X$5:$X$500, 0)), "")</f>
        <v>2200</v>
      </c>
      <c r="T19" s="18" t="n">
        <f aca="false">IFERROR(INDEX('Vehicle Register'!$T$5:$T$500, MATCH(15, 'Vehicle Register'!$X$5:$X$500, 0)), "")</f>
        <v>44</v>
      </c>
      <c r="U19" s="20" t="n">
        <f aca="false">IFERROR(INDEX('Vehicle Register'!$U$5:$U$500, MATCH(15, 'Vehicle Register'!$X$5:$X$500, 0)), "")</f>
        <v>350</v>
      </c>
      <c r="V19" s="21" t="n">
        <f aca="false">IFERROR(INDEX('Vehicle Register'!$V$5:$V$500, MATCH(15, 'Vehicle Register'!$X$5:$X$500, 0)), "")</f>
        <v>0.159090909090909</v>
      </c>
      <c r="W19" s="22" t="n">
        <f aca="false">IFERROR(INDEX('Vehicle Register'!$W$5:$W$500, MATCH(15, 'Vehicle Register'!$X$5:$X$500, 0)), "")</f>
        <v>46235</v>
      </c>
    </row>
    <row r="20" customFormat="false" ht="15" hidden="false" customHeight="false" outlineLevel="0" collapsed="false">
      <c r="A20" s="18" t="str">
        <f aca="false">IFERROR(INDEX('Vehicle Register'!$A$5:$A$500, MATCH(16, 'Vehicle Register'!$X$5:$X$500, 0)), "")</f>
        <v>RM-0021</v>
      </c>
      <c r="B20" s="18" t="str">
        <f aca="false">IFERROR(INDEX('Vehicle Register'!$B$5:$B$500, MATCH(16, 'Vehicle Register'!$X$5:$X$500, 0)), "")</f>
        <v>Sold</v>
      </c>
      <c r="C20" s="18" t="str">
        <f aca="false">IFERROR(INDEX('Vehicle Register'!$C$5:$C$500, MATCH(16, 'Vehicle Register'!$X$5:$X$500, 0)), "")</f>
        <v>New</v>
      </c>
      <c r="D20" s="18" t="str">
        <f aca="false">IFERROR(INDEX('Vehicle Register'!$D$5:$D$500, MATCH(16, 'Vehicle Register'!$X$5:$X$500, 0)), "")</f>
        <v>Royal Enfield</v>
      </c>
      <c r="E20" s="18" t="str">
        <f aca="false">IFERROR(INDEX('Vehicle Register'!$E$5:$E$500, MATCH(16, 'Vehicle Register'!$X$5:$X$500, 0)), "")</f>
        <v>Royal Enfield Hunter 350</v>
      </c>
      <c r="F20" s="18" t="n">
        <f aca="false">IFERROR(INDEX('Vehicle Register'!$F$5:$F$500, MATCH(16, 'Vehicle Register'!$X$5:$X$500, 0)), "")</f>
        <v>2026</v>
      </c>
      <c r="G20" s="18" t="str">
        <f aca="false">IFERROR(INDEX('Vehicle Register'!$G$5:$G$500, MATCH(16, 'Vehicle Register'!$X$5:$X$500, 0)), "")</f>
        <v>Black</v>
      </c>
      <c r="H20" s="18" t="str">
        <f aca="false">IFERROR(INDEX('Vehicle Register'!$H$5:$H$500, MATCH(16, 'Vehicle Register'!$X$5:$X$500, 0)), "")</f>
        <v>RE350-991201</v>
      </c>
      <c r="I20" s="18" t="str">
        <f aca="false">IFERROR(INDEX('Vehicle Register'!$I$5:$I$500, MATCH(16, 'Vehicle Register'!$X$5:$X$500, 0)), "")</f>
        <v>MEE350RE1P8991201</v>
      </c>
      <c r="J20" s="18" t="str">
        <f aca="false">IFERROR(INDEX('Vehicle Register'!$J$5:$J$500, MATCH(16, 'Vehicle Register'!$X$5:$X$500, 0)), "")</f>
        <v>2AA-1160</v>
      </c>
      <c r="K20" s="19" t="n">
        <f aca="false">IFERROR(INDEX('Vehicle Register'!$K$5:$K$500, MATCH(16, 'Vehicle Register'!$X$5:$X$500, 0)), "")</f>
        <v>46213</v>
      </c>
      <c r="L20" s="20" t="n">
        <f aca="false">IFERROR(INDEX('Vehicle Register'!$L$5:$L$500, MATCH(16, 'Vehicle Register'!$X$5:$X$500, 0)), "")</f>
        <v>3350</v>
      </c>
      <c r="M20" s="20" t="n">
        <f aca="false">IFERROR(INDEX('Vehicle Register'!$M$5:$M$500, MATCH(16, 'Vehicle Register'!$X$5:$X$500, 0)), "")</f>
        <v>0</v>
      </c>
      <c r="N20" s="20" t="n">
        <f aca="false">IFERROR(INDEX('Vehicle Register'!$N$5:$N$500, MATCH(16, 'Vehicle Register'!$X$5:$X$500, 0)), "")</f>
        <v>3350</v>
      </c>
      <c r="O20" s="18" t="str">
        <f aca="false">IFERROR(INDEX('Vehicle Register'!$O$5:$O$500, MATCH(16, 'Vehicle Register'!$X$5:$X$500, 0)), "")</f>
        <v>Complete</v>
      </c>
      <c r="P20" s="18" t="n">
        <f aca="false">IFERROR(INDEX('Vehicle Register'!$P$5:$P$500, MATCH(16, 'Vehicle Register'!$X$5:$X$500, 0)), "")</f>
        <v>0</v>
      </c>
      <c r="Q20" s="20" t="n">
        <f aca="false">IFERROR(INDEX('Vehicle Register'!$Q$5:$Q$500, MATCH(16, 'Vehicle Register'!$X$5:$X$500, 0)), "")</f>
        <v>4000</v>
      </c>
      <c r="R20" s="19" t="n">
        <f aca="false">IFERROR(INDEX('Vehicle Register'!$R$5:$R$500, MATCH(16, 'Vehicle Register'!$X$5:$X$500, 0)), "")</f>
        <v>46258</v>
      </c>
      <c r="S20" s="20" t="n">
        <f aca="false">IFERROR(INDEX('Vehicle Register'!$S$5:$S$500, MATCH(16, 'Vehicle Register'!$X$5:$X$500, 0)), "")</f>
        <v>4000</v>
      </c>
      <c r="T20" s="18" t="n">
        <f aca="false">IFERROR(INDEX('Vehicle Register'!$T$5:$T$500, MATCH(16, 'Vehicle Register'!$X$5:$X$500, 0)), "")</f>
        <v>45</v>
      </c>
      <c r="U20" s="20" t="n">
        <f aca="false">IFERROR(INDEX('Vehicle Register'!$U$5:$U$500, MATCH(16, 'Vehicle Register'!$X$5:$X$500, 0)), "")</f>
        <v>650</v>
      </c>
      <c r="V20" s="21" t="n">
        <f aca="false">IFERROR(INDEX('Vehicle Register'!$V$5:$V$500, MATCH(16, 'Vehicle Register'!$X$5:$X$500, 0)), "")</f>
        <v>0.1625</v>
      </c>
      <c r="W20" s="22" t="n">
        <f aca="false">IFERROR(INDEX('Vehicle Register'!$W$5:$W$500, MATCH(16, 'Vehicle Register'!$X$5:$X$500, 0)), "")</f>
        <v>46235</v>
      </c>
    </row>
    <row r="21" customFormat="false" ht="15" hidden="false" customHeight="false" outlineLevel="0" collapsed="false">
      <c r="A21" s="18" t="str">
        <f aca="false">IFERROR(INDEX('Vehicle Register'!$A$5:$A$500, MATCH(17, 'Vehicle Register'!$X$5:$X$500, 0)), "")</f>
        <v>RM-0022</v>
      </c>
      <c r="B21" s="18" t="str">
        <f aca="false">IFERROR(INDEX('Vehicle Register'!$B$5:$B$500, MATCH(17, 'Vehicle Register'!$X$5:$X$500, 0)), "")</f>
        <v>In Stock</v>
      </c>
      <c r="C21" s="18" t="str">
        <f aca="false">IFERROR(INDEX('Vehicle Register'!$C$5:$C$500, MATCH(17, 'Vehicle Register'!$X$5:$X$500, 0)), "")</f>
        <v>New</v>
      </c>
      <c r="D21" s="18" t="str">
        <f aca="false">IFERROR(INDEX('Vehicle Register'!$D$5:$D$500, MATCH(17, 'Vehicle Register'!$X$5:$X$500, 0)), "")</f>
        <v>Honda</v>
      </c>
      <c r="E21" s="18" t="str">
        <f aca="false">IFERROR(INDEX('Vehicle Register'!$E$5:$E$500, MATCH(17, 'Vehicle Register'!$X$5:$X$500, 0)), "")</f>
        <v>Honda Dream 125i</v>
      </c>
      <c r="F21" s="18" t="n">
        <f aca="false">IFERROR(INDEX('Vehicle Register'!$F$5:$F$500, MATCH(17, 'Vehicle Register'!$X$5:$X$500, 0)), "")</f>
        <v>2026</v>
      </c>
      <c r="G21" s="18" t="str">
        <f aca="false">IFERROR(INDEX('Vehicle Register'!$G$5:$G$500, MATCH(17, 'Vehicle Register'!$X$5:$X$500, 0)), "")</f>
        <v>Red</v>
      </c>
      <c r="H21" s="18" t="str">
        <f aca="false">IFERROR(INDEX('Vehicle Register'!$H$5:$H$500, MATCH(17, 'Vehicle Register'!$X$5:$X$500, 0)), "")</f>
        <v>JC52E-118825</v>
      </c>
      <c r="I21" s="18" t="str">
        <f aca="false">IFERROR(INDEX('Vehicle Register'!$I$5:$I$500, MATCH(17, 'Vehicle Register'!$X$5:$X$500, 0)), "")</f>
        <v>MLHJC52E1P8118825</v>
      </c>
      <c r="J21" s="18" t="n">
        <f aca="false">IFERROR(INDEX('Vehicle Register'!$J$5:$J$500, MATCH(17, 'Vehicle Register'!$X$5:$X$500, 0)), "")</f>
        <v>0</v>
      </c>
      <c r="K21" s="19" t="n">
        <f aca="false">IFERROR(INDEX('Vehicle Register'!$K$5:$K$500, MATCH(17, 'Vehicle Register'!$X$5:$X$500, 0)), "")</f>
        <v>46235</v>
      </c>
      <c r="L21" s="20" t="n">
        <f aca="false">IFERROR(INDEX('Vehicle Register'!$L$5:$L$500, MATCH(17, 'Vehicle Register'!$X$5:$X$500, 0)), "")</f>
        <v>1550</v>
      </c>
      <c r="M21" s="20" t="n">
        <f aca="false">IFERROR(INDEX('Vehicle Register'!$M$5:$M$500, MATCH(17, 'Vehicle Register'!$X$5:$X$500, 0)), "")</f>
        <v>0</v>
      </c>
      <c r="N21" s="20" t="n">
        <f aca="false">IFERROR(INDEX('Vehicle Register'!$N$5:$N$500, MATCH(17, 'Vehicle Register'!$X$5:$X$500, 0)), "")</f>
        <v>1550</v>
      </c>
      <c r="O21" s="18" t="str">
        <f aca="false">IFERROR(INDEX('Vehicle Register'!$O$5:$O$500, MATCH(17, 'Vehicle Register'!$X$5:$X$500, 0)), "")</f>
        <v>Complete</v>
      </c>
      <c r="P21" s="18" t="n">
        <f aca="false">IFERROR(INDEX('Vehicle Register'!$P$5:$P$500, MATCH(17, 'Vehicle Register'!$X$5:$X$500, 0)), "")</f>
        <v>0</v>
      </c>
      <c r="Q21" s="20" t="n">
        <f aca="false">IFERROR(INDEX('Vehicle Register'!$Q$5:$Q$500, MATCH(17, 'Vehicle Register'!$X$5:$X$500, 0)), "")</f>
        <v>1850</v>
      </c>
      <c r="R21" s="19" t="n">
        <f aca="false">IFERROR(INDEX('Vehicle Register'!$R$5:$R$500, MATCH(17, 'Vehicle Register'!$X$5:$X$500, 0)), "")</f>
        <v>0</v>
      </c>
      <c r="S21" s="20" t="n">
        <f aca="false">IFERROR(INDEX('Vehicle Register'!$S$5:$S$500, MATCH(17, 'Vehicle Register'!$X$5:$X$500, 0)), "")</f>
        <v>0</v>
      </c>
      <c r="T21" s="18" t="n">
        <f aca="false">IFERROR(INDEX('Vehicle Register'!$T$5:$T$500, MATCH(17, 'Vehicle Register'!$X$5:$X$500, 0)), "")</f>
        <v>27</v>
      </c>
      <c r="U21" s="20" t="str">
        <f aca="false">IFERROR(INDEX('Vehicle Register'!$U$5:$U$500, MATCH(17, 'Vehicle Register'!$X$5:$X$500, 0)), "")</f>
        <v/>
      </c>
      <c r="V21" s="21" t="str">
        <f aca="false">IFERROR(INDEX('Vehicle Register'!$V$5:$V$500, MATCH(17, 'Vehicle Register'!$X$5:$X$500, 0)), "")</f>
        <v/>
      </c>
      <c r="W21" s="22" t="str">
        <f aca="false">IFERROR(INDEX('Vehicle Register'!$W$5:$W$500, MATCH(17, 'Vehicle Register'!$X$5:$X$500, 0)), "")</f>
        <v/>
      </c>
    </row>
    <row r="22" customFormat="false" ht="15" hidden="false" customHeight="false" outlineLevel="0" collapsed="false">
      <c r="A22" s="18" t="str">
        <f aca="false">IFERROR(INDEX('Vehicle Register'!$A$5:$A$500, MATCH(18, 'Vehicle Register'!$X$5:$X$500, 0)), "")</f>
        <v>RM-0023</v>
      </c>
      <c r="B22" s="18" t="str">
        <f aca="false">IFERROR(INDEX('Vehicle Register'!$B$5:$B$500, MATCH(18, 'Vehicle Register'!$X$5:$X$500, 0)), "")</f>
        <v>In Stock</v>
      </c>
      <c r="C22" s="18" t="str">
        <f aca="false">IFERROR(INDEX('Vehicle Register'!$C$5:$C$500, MATCH(18, 'Vehicle Register'!$X$5:$X$500, 0)), "")</f>
        <v>New</v>
      </c>
      <c r="D22" s="18" t="str">
        <f aca="false">IFERROR(INDEX('Vehicle Register'!$D$5:$D$500, MATCH(18, 'Vehicle Register'!$X$5:$X$500, 0)), "")</f>
        <v>Honda</v>
      </c>
      <c r="E22" s="18" t="str">
        <f aca="false">IFERROR(INDEX('Vehicle Register'!$E$5:$E$500, MATCH(18, 'Vehicle Register'!$X$5:$X$500, 0)), "")</f>
        <v>Honda Wave 125i</v>
      </c>
      <c r="F22" s="18" t="n">
        <f aca="false">IFERROR(INDEX('Vehicle Register'!$F$5:$F$500, MATCH(18, 'Vehicle Register'!$X$5:$X$500, 0)), "")</f>
        <v>2026</v>
      </c>
      <c r="G22" s="18" t="str">
        <f aca="false">IFERROR(INDEX('Vehicle Register'!$G$5:$G$500, MATCH(18, 'Vehicle Register'!$X$5:$X$500, 0)), "")</f>
        <v>Black</v>
      </c>
      <c r="H22" s="18" t="str">
        <f aca="false">IFERROR(INDEX('Vehicle Register'!$H$5:$H$500, MATCH(18, 'Vehicle Register'!$X$5:$X$500, 0)), "")</f>
        <v>JA07E-220140</v>
      </c>
      <c r="I22" s="18" t="str">
        <f aca="false">IFERROR(INDEX('Vehicle Register'!$I$5:$I$500, MATCH(18, 'Vehicle Register'!$X$5:$X$500, 0)), "")</f>
        <v>MLHJA07E2P8220140</v>
      </c>
      <c r="J22" s="18" t="n">
        <f aca="false">IFERROR(INDEX('Vehicle Register'!$J$5:$J$500, MATCH(18, 'Vehicle Register'!$X$5:$X$500, 0)), "")</f>
        <v>0</v>
      </c>
      <c r="K22" s="19" t="n">
        <f aca="false">IFERROR(INDEX('Vehicle Register'!$K$5:$K$500, MATCH(18, 'Vehicle Register'!$X$5:$X$500, 0)), "")</f>
        <v>46237</v>
      </c>
      <c r="L22" s="20" t="n">
        <f aca="false">IFERROR(INDEX('Vehicle Register'!$L$5:$L$500, MATCH(18, 'Vehicle Register'!$X$5:$X$500, 0)), "")</f>
        <v>1450</v>
      </c>
      <c r="M22" s="20" t="n">
        <f aca="false">IFERROR(INDEX('Vehicle Register'!$M$5:$M$500, MATCH(18, 'Vehicle Register'!$X$5:$X$500, 0)), "")</f>
        <v>0</v>
      </c>
      <c r="N22" s="20" t="n">
        <f aca="false">IFERROR(INDEX('Vehicle Register'!$N$5:$N$500, MATCH(18, 'Vehicle Register'!$X$5:$X$500, 0)), "")</f>
        <v>1450</v>
      </c>
      <c r="O22" s="18" t="str">
        <f aca="false">IFERROR(INDEX('Vehicle Register'!$O$5:$O$500, MATCH(18, 'Vehicle Register'!$X$5:$X$500, 0)), "")</f>
        <v>Complete</v>
      </c>
      <c r="P22" s="18" t="n">
        <f aca="false">IFERROR(INDEX('Vehicle Register'!$P$5:$P$500, MATCH(18, 'Vehicle Register'!$X$5:$X$500, 0)), "")</f>
        <v>0</v>
      </c>
      <c r="Q22" s="20" t="n">
        <f aca="false">IFERROR(INDEX('Vehicle Register'!$Q$5:$Q$500, MATCH(18, 'Vehicle Register'!$X$5:$X$500, 0)), "")</f>
        <v>1750</v>
      </c>
      <c r="R22" s="19" t="n">
        <f aca="false">IFERROR(INDEX('Vehicle Register'!$R$5:$R$500, MATCH(18, 'Vehicle Register'!$X$5:$X$500, 0)), "")</f>
        <v>0</v>
      </c>
      <c r="S22" s="20" t="n">
        <f aca="false">IFERROR(INDEX('Vehicle Register'!$S$5:$S$500, MATCH(18, 'Vehicle Register'!$X$5:$X$500, 0)), "")</f>
        <v>0</v>
      </c>
      <c r="T22" s="18" t="n">
        <f aca="false">IFERROR(INDEX('Vehicle Register'!$T$5:$T$500, MATCH(18, 'Vehicle Register'!$X$5:$X$500, 0)), "")</f>
        <v>25</v>
      </c>
      <c r="U22" s="20" t="str">
        <f aca="false">IFERROR(INDEX('Vehicle Register'!$U$5:$U$500, MATCH(18, 'Vehicle Register'!$X$5:$X$500, 0)), "")</f>
        <v/>
      </c>
      <c r="V22" s="21" t="str">
        <f aca="false">IFERROR(INDEX('Vehicle Register'!$V$5:$V$500, MATCH(18, 'Vehicle Register'!$X$5:$X$500, 0)), "")</f>
        <v/>
      </c>
      <c r="W22" s="22" t="str">
        <f aca="false">IFERROR(INDEX('Vehicle Register'!$W$5:$W$500, MATCH(18, 'Vehicle Register'!$X$5:$X$500, 0)), "")</f>
        <v/>
      </c>
    </row>
    <row r="23" customFormat="false" ht="15" hidden="false" customHeight="false" outlineLevel="0" collapsed="false">
      <c r="A23" s="18" t="str">
        <f aca="false">IFERROR(INDEX('Vehicle Register'!$A$5:$A$500, MATCH(19, 'Vehicle Register'!$X$5:$X$500, 0)), "")</f>
        <v>RM-0024</v>
      </c>
      <c r="B23" s="18" t="str">
        <f aca="false">IFERROR(INDEX('Vehicle Register'!$B$5:$B$500, MATCH(19, 'Vehicle Register'!$X$5:$X$500, 0)), "")</f>
        <v>In Stock</v>
      </c>
      <c r="C23" s="18" t="str">
        <f aca="false">IFERROR(INDEX('Vehicle Register'!$C$5:$C$500, MATCH(19, 'Vehicle Register'!$X$5:$X$500, 0)), "")</f>
        <v>New</v>
      </c>
      <c r="D23" s="18" t="str">
        <f aca="false">IFERROR(INDEX('Vehicle Register'!$D$5:$D$500, MATCH(19, 'Vehicle Register'!$X$5:$X$500, 0)), "")</f>
        <v>Honda</v>
      </c>
      <c r="E23" s="18" t="str">
        <f aca="false">IFERROR(INDEX('Vehicle Register'!$E$5:$E$500, MATCH(19, 'Vehicle Register'!$X$5:$X$500, 0)), "")</f>
        <v>Honda Click 125i</v>
      </c>
      <c r="F23" s="18" t="n">
        <f aca="false">IFERROR(INDEX('Vehicle Register'!$F$5:$F$500, MATCH(19, 'Vehicle Register'!$X$5:$X$500, 0)), "")</f>
        <v>2026</v>
      </c>
      <c r="G23" s="18" t="str">
        <f aca="false">IFERROR(INDEX('Vehicle Register'!$G$5:$G$500, MATCH(19, 'Vehicle Register'!$X$5:$X$500, 0)), "")</f>
        <v>White</v>
      </c>
      <c r="H23" s="18" t="str">
        <f aca="false">IFERROR(INDEX('Vehicle Register'!$H$5:$H$500, MATCH(19, 'Vehicle Register'!$X$5:$X$500, 0)), "")</f>
        <v>JF71E-330220</v>
      </c>
      <c r="I23" s="18" t="str">
        <f aca="false">IFERROR(INDEX('Vehicle Register'!$I$5:$I$500, MATCH(19, 'Vehicle Register'!$X$5:$X$500, 0)), "")</f>
        <v>MLHJF71E3P8330220</v>
      </c>
      <c r="J23" s="18" t="n">
        <f aca="false">IFERROR(INDEX('Vehicle Register'!$J$5:$J$500, MATCH(19, 'Vehicle Register'!$X$5:$X$500, 0)), "")</f>
        <v>0</v>
      </c>
      <c r="K23" s="19" t="n">
        <f aca="false">IFERROR(INDEX('Vehicle Register'!$K$5:$K$500, MATCH(19, 'Vehicle Register'!$X$5:$X$500, 0)), "")</f>
        <v>46239</v>
      </c>
      <c r="L23" s="20" t="n">
        <f aca="false">IFERROR(INDEX('Vehicle Register'!$L$5:$L$500, MATCH(19, 'Vehicle Register'!$X$5:$X$500, 0)), "")</f>
        <v>1750</v>
      </c>
      <c r="M23" s="20" t="n">
        <f aca="false">IFERROR(INDEX('Vehicle Register'!$M$5:$M$500, MATCH(19, 'Vehicle Register'!$X$5:$X$500, 0)), "")</f>
        <v>0</v>
      </c>
      <c r="N23" s="20" t="n">
        <f aca="false">IFERROR(INDEX('Vehicle Register'!$N$5:$N$500, MATCH(19, 'Vehicle Register'!$X$5:$X$500, 0)), "")</f>
        <v>1750</v>
      </c>
      <c r="O23" s="18" t="str">
        <f aca="false">IFERROR(INDEX('Vehicle Register'!$O$5:$O$500, MATCH(19, 'Vehicle Register'!$X$5:$X$500, 0)), "")</f>
        <v>Complete</v>
      </c>
      <c r="P23" s="18" t="n">
        <f aca="false">IFERROR(INDEX('Vehicle Register'!$P$5:$P$500, MATCH(19, 'Vehicle Register'!$X$5:$X$500, 0)), "")</f>
        <v>0</v>
      </c>
      <c r="Q23" s="20" t="n">
        <f aca="false">IFERROR(INDEX('Vehicle Register'!$Q$5:$Q$500, MATCH(19, 'Vehicle Register'!$X$5:$X$500, 0)), "")</f>
        <v>2100</v>
      </c>
      <c r="R23" s="19" t="n">
        <f aca="false">IFERROR(INDEX('Vehicle Register'!$R$5:$R$500, MATCH(19, 'Vehicle Register'!$X$5:$X$500, 0)), "")</f>
        <v>0</v>
      </c>
      <c r="S23" s="20" t="n">
        <f aca="false">IFERROR(INDEX('Vehicle Register'!$S$5:$S$500, MATCH(19, 'Vehicle Register'!$X$5:$X$500, 0)), "")</f>
        <v>0</v>
      </c>
      <c r="T23" s="18" t="n">
        <f aca="false">IFERROR(INDEX('Vehicle Register'!$T$5:$T$500, MATCH(19, 'Vehicle Register'!$X$5:$X$500, 0)), "")</f>
        <v>23</v>
      </c>
      <c r="U23" s="20" t="str">
        <f aca="false">IFERROR(INDEX('Vehicle Register'!$U$5:$U$500, MATCH(19, 'Vehicle Register'!$X$5:$X$500, 0)), "")</f>
        <v/>
      </c>
      <c r="V23" s="21" t="str">
        <f aca="false">IFERROR(INDEX('Vehicle Register'!$V$5:$V$500, MATCH(19, 'Vehicle Register'!$X$5:$X$500, 0)), "")</f>
        <v/>
      </c>
      <c r="W23" s="22" t="str">
        <f aca="false">IFERROR(INDEX('Vehicle Register'!$W$5:$W$500, MATCH(19, 'Vehicle Register'!$X$5:$X$500, 0)), "")</f>
        <v/>
      </c>
    </row>
    <row r="24" customFormat="false" ht="15" hidden="false" customHeight="false" outlineLevel="0" collapsed="false">
      <c r="A24" s="18" t="str">
        <f aca="false">IFERROR(INDEX('Vehicle Register'!$A$5:$A$500, MATCH(20, 'Vehicle Register'!$X$5:$X$500, 0)), "")</f>
        <v>RM-0026</v>
      </c>
      <c r="B24" s="18" t="str">
        <f aca="false">IFERROR(INDEX('Vehicle Register'!$B$5:$B$500, MATCH(20, 'Vehicle Register'!$X$5:$X$500, 0)), "")</f>
        <v>In Stock</v>
      </c>
      <c r="C24" s="18" t="str">
        <f aca="false">IFERROR(INDEX('Vehicle Register'!$C$5:$C$500, MATCH(20, 'Vehicle Register'!$X$5:$X$500, 0)), "")</f>
        <v>New</v>
      </c>
      <c r="D24" s="18" t="str">
        <f aca="false">IFERROR(INDEX('Vehicle Register'!$D$5:$D$500, MATCH(20, 'Vehicle Register'!$X$5:$X$500, 0)), "")</f>
        <v>Honda</v>
      </c>
      <c r="E24" s="18" t="str">
        <f aca="false">IFERROR(INDEX('Vehicle Register'!$E$5:$E$500, MATCH(20, 'Vehicle Register'!$X$5:$X$500, 0)), "")</f>
        <v>Honda Beat 110</v>
      </c>
      <c r="F24" s="18" t="n">
        <f aca="false">IFERROR(INDEX('Vehicle Register'!$F$5:$F$500, MATCH(20, 'Vehicle Register'!$X$5:$X$500, 0)), "")</f>
        <v>2026</v>
      </c>
      <c r="G24" s="18" t="str">
        <f aca="false">IFERROR(INDEX('Vehicle Register'!$G$5:$G$500, MATCH(20, 'Vehicle Register'!$X$5:$X$500, 0)), "")</f>
        <v>White</v>
      </c>
      <c r="H24" s="18" t="str">
        <f aca="false">IFERROR(INDEX('Vehicle Register'!$H$5:$H$500, MATCH(20, 'Vehicle Register'!$X$5:$X$500, 0)), "")</f>
        <v>JB02E-440320</v>
      </c>
      <c r="I24" s="18" t="str">
        <f aca="false">IFERROR(INDEX('Vehicle Register'!$I$5:$I$500, MATCH(20, 'Vehicle Register'!$X$5:$X$500, 0)), "")</f>
        <v>MLHJB02E4P8440320</v>
      </c>
      <c r="J24" s="18" t="n">
        <f aca="false">IFERROR(INDEX('Vehicle Register'!$J$5:$J$500, MATCH(20, 'Vehicle Register'!$X$5:$X$500, 0)), "")</f>
        <v>0</v>
      </c>
      <c r="K24" s="19" t="n">
        <f aca="false">IFERROR(INDEX('Vehicle Register'!$K$5:$K$500, MATCH(20, 'Vehicle Register'!$X$5:$X$500, 0)), "")</f>
        <v>46246</v>
      </c>
      <c r="L24" s="20" t="n">
        <f aca="false">IFERROR(INDEX('Vehicle Register'!$L$5:$L$500, MATCH(20, 'Vehicle Register'!$X$5:$X$500, 0)), "")</f>
        <v>1300</v>
      </c>
      <c r="M24" s="20" t="n">
        <f aca="false">IFERROR(INDEX('Vehicle Register'!$M$5:$M$500, MATCH(20, 'Vehicle Register'!$X$5:$X$500, 0)), "")</f>
        <v>0</v>
      </c>
      <c r="N24" s="20" t="n">
        <f aca="false">IFERROR(INDEX('Vehicle Register'!$N$5:$N$500, MATCH(20, 'Vehicle Register'!$X$5:$X$500, 0)), "")</f>
        <v>1300</v>
      </c>
      <c r="O24" s="18" t="str">
        <f aca="false">IFERROR(INDEX('Vehicle Register'!$O$5:$O$500, MATCH(20, 'Vehicle Register'!$X$5:$X$500, 0)), "")</f>
        <v>Complete</v>
      </c>
      <c r="P24" s="18" t="n">
        <f aca="false">IFERROR(INDEX('Vehicle Register'!$P$5:$P$500, MATCH(20, 'Vehicle Register'!$X$5:$X$500, 0)), "")</f>
        <v>0</v>
      </c>
      <c r="Q24" s="20" t="n">
        <f aca="false">IFERROR(INDEX('Vehicle Register'!$Q$5:$Q$500, MATCH(20, 'Vehicle Register'!$X$5:$X$500, 0)), "")</f>
        <v>1600</v>
      </c>
      <c r="R24" s="19" t="n">
        <f aca="false">IFERROR(INDEX('Vehicle Register'!$R$5:$R$500, MATCH(20, 'Vehicle Register'!$X$5:$X$500, 0)), "")</f>
        <v>0</v>
      </c>
      <c r="S24" s="20" t="n">
        <f aca="false">IFERROR(INDEX('Vehicle Register'!$S$5:$S$500, MATCH(20, 'Vehicle Register'!$X$5:$X$500, 0)), "")</f>
        <v>0</v>
      </c>
      <c r="T24" s="18" t="n">
        <f aca="false">IFERROR(INDEX('Vehicle Register'!$T$5:$T$500, MATCH(20, 'Vehicle Register'!$X$5:$X$500, 0)), "")</f>
        <v>16</v>
      </c>
      <c r="U24" s="20" t="str">
        <f aca="false">IFERROR(INDEX('Vehicle Register'!$U$5:$U$500, MATCH(20, 'Vehicle Register'!$X$5:$X$500, 0)), "")</f>
        <v/>
      </c>
      <c r="V24" s="21" t="str">
        <f aca="false">IFERROR(INDEX('Vehicle Register'!$V$5:$V$500, MATCH(20, 'Vehicle Register'!$X$5:$X$500, 0)), "")</f>
        <v/>
      </c>
      <c r="W24" s="22" t="str">
        <f aca="false">IFERROR(INDEX('Vehicle Register'!$W$5:$W$500, MATCH(20, 'Vehicle Register'!$X$5:$X$500, 0)), "")</f>
        <v/>
      </c>
    </row>
    <row r="25" customFormat="false" ht="15" hidden="false" customHeight="false" outlineLevel="0" collapsed="false">
      <c r="A25" s="18" t="str">
        <f aca="false">IFERROR(INDEX('Vehicle Register'!$A$5:$A$500, MATCH(21, 'Vehicle Register'!$X$5:$X$500, 0)), "")</f>
        <v>RM-0028</v>
      </c>
      <c r="B25" s="18" t="str">
        <f aca="false">IFERROR(INDEX('Vehicle Register'!$B$5:$B$500, MATCH(21, 'Vehicle Register'!$X$5:$X$500, 0)), "")</f>
        <v>In Stock</v>
      </c>
      <c r="C25" s="18" t="str">
        <f aca="false">IFERROR(INDEX('Vehicle Register'!$C$5:$C$500, MATCH(21, 'Vehicle Register'!$X$5:$X$500, 0)), "")</f>
        <v>New</v>
      </c>
      <c r="D25" s="18" t="str">
        <f aca="false">IFERROR(INDEX('Vehicle Register'!$D$5:$D$500, MATCH(21, 'Vehicle Register'!$X$5:$X$500, 0)), "")</f>
        <v>Honda</v>
      </c>
      <c r="E25" s="18" t="str">
        <f aca="false">IFERROR(INDEX('Vehicle Register'!$E$5:$E$500, MATCH(21, 'Vehicle Register'!$X$5:$X$500, 0)), "")</f>
        <v>Honda Air Blade 125</v>
      </c>
      <c r="F25" s="18" t="n">
        <f aca="false">IFERROR(INDEX('Vehicle Register'!$F$5:$F$500, MATCH(21, 'Vehicle Register'!$X$5:$X$500, 0)), "")</f>
        <v>2026</v>
      </c>
      <c r="G25" s="18" t="str">
        <f aca="false">IFERROR(INDEX('Vehicle Register'!$G$5:$G$500, MATCH(21, 'Vehicle Register'!$X$5:$X$500, 0)), "")</f>
        <v>White</v>
      </c>
      <c r="H25" s="18" t="str">
        <f aca="false">IFERROR(INDEX('Vehicle Register'!$H$5:$H$500, MATCH(21, 'Vehicle Register'!$X$5:$X$500, 0)), "")</f>
        <v>JG10E-770610</v>
      </c>
      <c r="I25" s="18" t="str">
        <f aca="false">IFERROR(INDEX('Vehicle Register'!$I$5:$I$500, MATCH(21, 'Vehicle Register'!$X$5:$X$500, 0)), "")</f>
        <v>MLHJG10E7P8770610</v>
      </c>
      <c r="J25" s="18" t="n">
        <f aca="false">IFERROR(INDEX('Vehicle Register'!$J$5:$J$500, MATCH(21, 'Vehicle Register'!$X$5:$X$500, 0)), "")</f>
        <v>0</v>
      </c>
      <c r="K25" s="19" t="n">
        <f aca="false">IFERROR(INDEX('Vehicle Register'!$K$5:$K$500, MATCH(21, 'Vehicle Register'!$X$5:$X$500, 0)), "")</f>
        <v>46252</v>
      </c>
      <c r="L25" s="20" t="n">
        <f aca="false">IFERROR(INDEX('Vehicle Register'!$L$5:$L$500, MATCH(21, 'Vehicle Register'!$X$5:$X$500, 0)), "")</f>
        <v>2050</v>
      </c>
      <c r="M25" s="20" t="n">
        <f aca="false">IFERROR(INDEX('Vehicle Register'!$M$5:$M$500, MATCH(21, 'Vehicle Register'!$X$5:$X$500, 0)), "")</f>
        <v>0</v>
      </c>
      <c r="N25" s="20" t="n">
        <f aca="false">IFERROR(INDEX('Vehicle Register'!$N$5:$N$500, MATCH(21, 'Vehicle Register'!$X$5:$X$500, 0)), "")</f>
        <v>2050</v>
      </c>
      <c r="O25" s="18" t="str">
        <f aca="false">IFERROR(INDEX('Vehicle Register'!$O$5:$O$500, MATCH(21, 'Vehicle Register'!$X$5:$X$500, 0)), "")</f>
        <v>Complete</v>
      </c>
      <c r="P25" s="18" t="n">
        <f aca="false">IFERROR(INDEX('Vehicle Register'!$P$5:$P$500, MATCH(21, 'Vehicle Register'!$X$5:$X$500, 0)), "")</f>
        <v>0</v>
      </c>
      <c r="Q25" s="20" t="n">
        <f aca="false">IFERROR(INDEX('Vehicle Register'!$Q$5:$Q$500, MATCH(21, 'Vehicle Register'!$X$5:$X$500, 0)), "")</f>
        <v>2450</v>
      </c>
      <c r="R25" s="19" t="n">
        <f aca="false">IFERROR(INDEX('Vehicle Register'!$R$5:$R$500, MATCH(21, 'Vehicle Register'!$X$5:$X$500, 0)), "")</f>
        <v>0</v>
      </c>
      <c r="S25" s="20" t="n">
        <f aca="false">IFERROR(INDEX('Vehicle Register'!$S$5:$S$500, MATCH(21, 'Vehicle Register'!$X$5:$X$500, 0)), "")</f>
        <v>0</v>
      </c>
      <c r="T25" s="18" t="n">
        <f aca="false">IFERROR(INDEX('Vehicle Register'!$T$5:$T$500, MATCH(21, 'Vehicle Register'!$X$5:$X$500, 0)), "")</f>
        <v>10</v>
      </c>
      <c r="U25" s="20" t="str">
        <f aca="false">IFERROR(INDEX('Vehicle Register'!$U$5:$U$500, MATCH(21, 'Vehicle Register'!$X$5:$X$500, 0)), "")</f>
        <v/>
      </c>
      <c r="V25" s="21" t="str">
        <f aca="false">IFERROR(INDEX('Vehicle Register'!$V$5:$V$500, MATCH(21, 'Vehicle Register'!$X$5:$X$500, 0)), "")</f>
        <v/>
      </c>
      <c r="W25" s="22" t="str">
        <f aca="false">IFERROR(INDEX('Vehicle Register'!$W$5:$W$500, MATCH(21, 'Vehicle Register'!$X$5:$X$500, 0)), "")</f>
        <v/>
      </c>
    </row>
    <row r="26" customFormat="false" ht="15" hidden="false" customHeight="false" outlineLevel="0" collapsed="false">
      <c r="A26" s="18" t="str">
        <f aca="false">IFERROR(INDEX('Vehicle Register'!$A$5:$A$500, MATCH(22, 'Vehicle Register'!$X$5:$X$500, 0)), "")</f>
        <v>RM-0029</v>
      </c>
      <c r="B26" s="18" t="str">
        <f aca="false">IFERROR(INDEX('Vehicle Register'!$B$5:$B$500, MATCH(22, 'Vehicle Register'!$X$5:$X$500, 0)), "")</f>
        <v>Reserved</v>
      </c>
      <c r="C26" s="18" t="str">
        <f aca="false">IFERROR(INDEX('Vehicle Register'!$C$5:$C$500, MATCH(22, 'Vehicle Register'!$X$5:$X$500, 0)), "")</f>
        <v>New</v>
      </c>
      <c r="D26" s="18" t="str">
        <f aca="false">IFERROR(INDEX('Vehicle Register'!$D$5:$D$500, MATCH(22, 'Vehicle Register'!$X$5:$X$500, 0)), "")</f>
        <v>Honda</v>
      </c>
      <c r="E26" s="18" t="str">
        <f aca="false">IFERROR(INDEX('Vehicle Register'!$E$5:$E$500, MATCH(22, 'Vehicle Register'!$X$5:$X$500, 0)), "")</f>
        <v>Honda Vario 125</v>
      </c>
      <c r="F26" s="18" t="n">
        <f aca="false">IFERROR(INDEX('Vehicle Register'!$F$5:$F$500, MATCH(22, 'Vehicle Register'!$X$5:$X$500, 0)), "")</f>
        <v>2026</v>
      </c>
      <c r="G26" s="18" t="str">
        <f aca="false">IFERROR(INDEX('Vehicle Register'!$G$5:$G$500, MATCH(22, 'Vehicle Register'!$X$5:$X$500, 0)), "")</f>
        <v>Black</v>
      </c>
      <c r="H26" s="18" t="str">
        <f aca="false">IFERROR(INDEX('Vehicle Register'!$H$5:$H$500, MATCH(22, 'Vehicle Register'!$X$5:$X$500, 0)), "")</f>
        <v>JH22E-880720</v>
      </c>
      <c r="I26" s="18" t="str">
        <f aca="false">IFERROR(INDEX('Vehicle Register'!$I$5:$I$500, MATCH(22, 'Vehicle Register'!$X$5:$X$500, 0)), "")</f>
        <v>MLHJH22E8P8880720</v>
      </c>
      <c r="J26" s="18" t="n">
        <f aca="false">IFERROR(INDEX('Vehicle Register'!$J$5:$J$500, MATCH(22, 'Vehicle Register'!$X$5:$X$500, 0)), "")</f>
        <v>0</v>
      </c>
      <c r="K26" s="19" t="n">
        <f aca="false">IFERROR(INDEX('Vehicle Register'!$K$5:$K$500, MATCH(22, 'Vehicle Register'!$X$5:$X$500, 0)), "")</f>
        <v>46254</v>
      </c>
      <c r="L26" s="20" t="n">
        <f aca="false">IFERROR(INDEX('Vehicle Register'!$L$5:$L$500, MATCH(22, 'Vehicle Register'!$X$5:$X$500, 0)), "")</f>
        <v>1850</v>
      </c>
      <c r="M26" s="20" t="n">
        <f aca="false">IFERROR(INDEX('Vehicle Register'!$M$5:$M$500, MATCH(22, 'Vehicle Register'!$X$5:$X$500, 0)), "")</f>
        <v>0</v>
      </c>
      <c r="N26" s="20" t="n">
        <f aca="false">IFERROR(INDEX('Vehicle Register'!$N$5:$N$500, MATCH(22, 'Vehicle Register'!$X$5:$X$500, 0)), "")</f>
        <v>1850</v>
      </c>
      <c r="O26" s="18" t="str">
        <f aca="false">IFERROR(INDEX('Vehicle Register'!$O$5:$O$500, MATCH(22, 'Vehicle Register'!$X$5:$X$500, 0)), "")</f>
        <v>Complete</v>
      </c>
      <c r="P26" s="18" t="n">
        <f aca="false">IFERROR(INDEX('Vehicle Register'!$P$5:$P$500, MATCH(22, 'Vehicle Register'!$X$5:$X$500, 0)), "")</f>
        <v>0</v>
      </c>
      <c r="Q26" s="20" t="n">
        <f aca="false">IFERROR(INDEX('Vehicle Register'!$Q$5:$Q$500, MATCH(22, 'Vehicle Register'!$X$5:$X$500, 0)), "")</f>
        <v>2200</v>
      </c>
      <c r="R26" s="19" t="n">
        <f aca="false">IFERROR(INDEX('Vehicle Register'!$R$5:$R$500, MATCH(22, 'Vehicle Register'!$X$5:$X$500, 0)), "")</f>
        <v>0</v>
      </c>
      <c r="S26" s="20" t="n">
        <f aca="false">IFERROR(INDEX('Vehicle Register'!$S$5:$S$500, MATCH(22, 'Vehicle Register'!$X$5:$X$500, 0)), "")</f>
        <v>0</v>
      </c>
      <c r="T26" s="18" t="n">
        <f aca="false">IFERROR(INDEX('Vehicle Register'!$T$5:$T$500, MATCH(22, 'Vehicle Register'!$X$5:$X$500, 0)), "")</f>
        <v>8</v>
      </c>
      <c r="U26" s="20" t="str">
        <f aca="false">IFERROR(INDEX('Vehicle Register'!$U$5:$U$500, MATCH(22, 'Vehicle Register'!$X$5:$X$500, 0)), "")</f>
        <v/>
      </c>
      <c r="V26" s="21" t="str">
        <f aca="false">IFERROR(INDEX('Vehicle Register'!$V$5:$V$500, MATCH(22, 'Vehicle Register'!$X$5:$X$500, 0)), "")</f>
        <v/>
      </c>
      <c r="W26" s="22" t="str">
        <f aca="false">IFERROR(INDEX('Vehicle Register'!$W$5:$W$500, MATCH(22, 'Vehicle Register'!$X$5:$X$500, 0)), "")</f>
        <v/>
      </c>
    </row>
    <row r="27" customFormat="false" ht="15" hidden="false" customHeight="false" outlineLevel="0" collapsed="false">
      <c r="A27" s="18" t="str">
        <f aca="false">IFERROR(INDEX('Vehicle Register'!$A$5:$A$500, MATCH(23, 'Vehicle Register'!$X$5:$X$500, 0)), "")</f>
        <v>RM-0030</v>
      </c>
      <c r="B27" s="18" t="str">
        <f aca="false">IFERROR(INDEX('Vehicle Register'!$B$5:$B$500, MATCH(23, 'Vehicle Register'!$X$5:$X$500, 0)), "")</f>
        <v>In Stock</v>
      </c>
      <c r="C27" s="18" t="str">
        <f aca="false">IFERROR(INDEX('Vehicle Register'!$C$5:$C$500, MATCH(23, 'Vehicle Register'!$X$5:$X$500, 0)), "")</f>
        <v>New</v>
      </c>
      <c r="D27" s="18" t="str">
        <f aca="false">IFERROR(INDEX('Vehicle Register'!$D$5:$D$500, MATCH(23, 'Vehicle Register'!$X$5:$X$500, 0)), "")</f>
        <v>Yamaha</v>
      </c>
      <c r="E27" s="18" t="str">
        <f aca="false">IFERROR(INDEX('Vehicle Register'!$E$5:$E$500, MATCH(23, 'Vehicle Register'!$X$5:$X$500, 0)), "")</f>
        <v>Yamaha Sniper 125</v>
      </c>
      <c r="F27" s="18" t="n">
        <f aca="false">IFERROR(INDEX('Vehicle Register'!$F$5:$F$500, MATCH(23, 'Vehicle Register'!$X$5:$X$500, 0)), "")</f>
        <v>2026</v>
      </c>
      <c r="G27" s="18" t="str">
        <f aca="false">IFERROR(INDEX('Vehicle Register'!$G$5:$G$500, MATCH(23, 'Vehicle Register'!$X$5:$X$500, 0)), "")</f>
        <v>Red</v>
      </c>
      <c r="H27" s="18" t="str">
        <f aca="false">IFERROR(INDEX('Vehicle Register'!$H$5:$H$500, MATCH(23, 'Vehicle Register'!$X$5:$X$500, 0)), "")</f>
        <v>B4T-113322</v>
      </c>
      <c r="I27" s="18" t="str">
        <f aca="false">IFERROR(INDEX('Vehicle Register'!$I$5:$I$500, MATCH(23, 'Vehicle Register'!$X$5:$X$500, 0)), "")</f>
        <v>MH3B4T001TK113322</v>
      </c>
      <c r="J27" s="18" t="n">
        <f aca="false">IFERROR(INDEX('Vehicle Register'!$J$5:$J$500, MATCH(23, 'Vehicle Register'!$X$5:$X$500, 0)), "")</f>
        <v>0</v>
      </c>
      <c r="K27" s="19" t="n">
        <f aca="false">IFERROR(INDEX('Vehicle Register'!$K$5:$K$500, MATCH(23, 'Vehicle Register'!$X$5:$X$500, 0)), "")</f>
        <v>46256</v>
      </c>
      <c r="L27" s="20" t="n">
        <f aca="false">IFERROR(INDEX('Vehicle Register'!$L$5:$L$500, MATCH(23, 'Vehicle Register'!$X$5:$X$500, 0)), "")</f>
        <v>1850</v>
      </c>
      <c r="M27" s="20" t="n">
        <f aca="false">IFERROR(INDEX('Vehicle Register'!$M$5:$M$500, MATCH(23, 'Vehicle Register'!$X$5:$X$500, 0)), "")</f>
        <v>0</v>
      </c>
      <c r="N27" s="20" t="n">
        <f aca="false">IFERROR(INDEX('Vehicle Register'!$N$5:$N$500, MATCH(23, 'Vehicle Register'!$X$5:$X$500, 0)), "")</f>
        <v>1850</v>
      </c>
      <c r="O27" s="18" t="str">
        <f aca="false">IFERROR(INDEX('Vehicle Register'!$O$5:$O$500, MATCH(23, 'Vehicle Register'!$X$5:$X$500, 0)), "")</f>
        <v>Complete</v>
      </c>
      <c r="P27" s="18" t="n">
        <f aca="false">IFERROR(INDEX('Vehicle Register'!$P$5:$P$500, MATCH(23, 'Vehicle Register'!$X$5:$X$500, 0)), "")</f>
        <v>0</v>
      </c>
      <c r="Q27" s="20" t="n">
        <f aca="false">IFERROR(INDEX('Vehicle Register'!$Q$5:$Q$500, MATCH(23, 'Vehicle Register'!$X$5:$X$500, 0)), "")</f>
        <v>2200</v>
      </c>
      <c r="R27" s="19" t="n">
        <f aca="false">IFERROR(INDEX('Vehicle Register'!$R$5:$R$500, MATCH(23, 'Vehicle Register'!$X$5:$X$500, 0)), "")</f>
        <v>0</v>
      </c>
      <c r="S27" s="20" t="n">
        <f aca="false">IFERROR(INDEX('Vehicle Register'!$S$5:$S$500, MATCH(23, 'Vehicle Register'!$X$5:$X$500, 0)), "")</f>
        <v>0</v>
      </c>
      <c r="T27" s="18" t="n">
        <f aca="false">IFERROR(INDEX('Vehicle Register'!$T$5:$T$500, MATCH(23, 'Vehicle Register'!$X$5:$X$500, 0)), "")</f>
        <v>6</v>
      </c>
      <c r="U27" s="20" t="str">
        <f aca="false">IFERROR(INDEX('Vehicle Register'!$U$5:$U$500, MATCH(23, 'Vehicle Register'!$X$5:$X$500, 0)), "")</f>
        <v/>
      </c>
      <c r="V27" s="21" t="str">
        <f aca="false">IFERROR(INDEX('Vehicle Register'!$V$5:$V$500, MATCH(23, 'Vehicle Register'!$X$5:$X$500, 0)), "")</f>
        <v/>
      </c>
      <c r="W27" s="22" t="str">
        <f aca="false">IFERROR(INDEX('Vehicle Register'!$W$5:$W$500, MATCH(23, 'Vehicle Register'!$X$5:$X$500, 0)), "")</f>
        <v/>
      </c>
    </row>
    <row r="28" customFormat="false" ht="15" hidden="false" customHeight="false" outlineLevel="0" collapsed="false">
      <c r="A28" s="18" t="str">
        <f aca="false">IFERROR(INDEX('Vehicle Register'!$A$5:$A$500, MATCH(24, 'Vehicle Register'!$X$5:$X$500, 0)), "")</f>
        <v/>
      </c>
      <c r="B28" s="18" t="str">
        <f aca="false">IFERROR(INDEX('Vehicle Register'!$B$5:$B$500, MATCH(24, 'Vehicle Register'!$X$5:$X$500, 0)), "")</f>
        <v/>
      </c>
      <c r="C28" s="18" t="str">
        <f aca="false">IFERROR(INDEX('Vehicle Register'!$C$5:$C$500, MATCH(24, 'Vehicle Register'!$X$5:$X$500, 0)), "")</f>
        <v/>
      </c>
      <c r="D28" s="18" t="str">
        <f aca="false">IFERROR(INDEX('Vehicle Register'!$D$5:$D$500, MATCH(24, 'Vehicle Register'!$X$5:$X$500, 0)), "")</f>
        <v/>
      </c>
      <c r="E28" s="18" t="str">
        <f aca="false">IFERROR(INDEX('Vehicle Register'!$E$5:$E$500, MATCH(24, 'Vehicle Register'!$X$5:$X$500, 0)), "")</f>
        <v/>
      </c>
      <c r="F28" s="18" t="str">
        <f aca="false">IFERROR(INDEX('Vehicle Register'!$F$5:$F$500, MATCH(24, 'Vehicle Register'!$X$5:$X$500, 0)), "")</f>
        <v/>
      </c>
      <c r="G28" s="18" t="str">
        <f aca="false">IFERROR(INDEX('Vehicle Register'!$G$5:$G$500, MATCH(24, 'Vehicle Register'!$X$5:$X$500, 0)), "")</f>
        <v/>
      </c>
      <c r="H28" s="18" t="str">
        <f aca="false">IFERROR(INDEX('Vehicle Register'!$H$5:$H$500, MATCH(24, 'Vehicle Register'!$X$5:$X$500, 0)), "")</f>
        <v/>
      </c>
      <c r="I28" s="18" t="str">
        <f aca="false">IFERROR(INDEX('Vehicle Register'!$I$5:$I$500, MATCH(24, 'Vehicle Register'!$X$5:$X$500, 0)), "")</f>
        <v/>
      </c>
      <c r="J28" s="18" t="str">
        <f aca="false">IFERROR(INDEX('Vehicle Register'!$J$5:$J$500, MATCH(24, 'Vehicle Register'!$X$5:$X$500, 0)), "")</f>
        <v/>
      </c>
      <c r="K28" s="19" t="str">
        <f aca="false">IFERROR(INDEX('Vehicle Register'!$K$5:$K$500, MATCH(24, 'Vehicle Register'!$X$5:$X$500, 0)), "")</f>
        <v/>
      </c>
      <c r="L28" s="20" t="str">
        <f aca="false">IFERROR(INDEX('Vehicle Register'!$L$5:$L$500, MATCH(24, 'Vehicle Register'!$X$5:$X$500, 0)), "")</f>
        <v/>
      </c>
      <c r="M28" s="20" t="str">
        <f aca="false">IFERROR(INDEX('Vehicle Register'!$M$5:$M$500, MATCH(24, 'Vehicle Register'!$X$5:$X$500, 0)), "")</f>
        <v/>
      </c>
      <c r="N28" s="20" t="str">
        <f aca="false">IFERROR(INDEX('Vehicle Register'!$N$5:$N$500, MATCH(24, 'Vehicle Register'!$X$5:$X$500, 0)), "")</f>
        <v/>
      </c>
      <c r="O28" s="18" t="str">
        <f aca="false">IFERROR(INDEX('Vehicle Register'!$O$5:$O$500, MATCH(24, 'Vehicle Register'!$X$5:$X$500, 0)), "")</f>
        <v/>
      </c>
      <c r="P28" s="18" t="str">
        <f aca="false">IFERROR(INDEX('Vehicle Register'!$P$5:$P$500, MATCH(24, 'Vehicle Register'!$X$5:$X$500, 0)), "")</f>
        <v/>
      </c>
      <c r="Q28" s="20" t="str">
        <f aca="false">IFERROR(INDEX('Vehicle Register'!$Q$5:$Q$500, MATCH(24, 'Vehicle Register'!$X$5:$X$500, 0)), "")</f>
        <v/>
      </c>
      <c r="R28" s="19" t="str">
        <f aca="false">IFERROR(INDEX('Vehicle Register'!$R$5:$R$500, MATCH(24, 'Vehicle Register'!$X$5:$X$500, 0)), "")</f>
        <v/>
      </c>
      <c r="S28" s="20" t="str">
        <f aca="false">IFERROR(INDEX('Vehicle Register'!$S$5:$S$500, MATCH(24, 'Vehicle Register'!$X$5:$X$500, 0)), "")</f>
        <v/>
      </c>
      <c r="T28" s="18" t="str">
        <f aca="false">IFERROR(INDEX('Vehicle Register'!$T$5:$T$500, MATCH(24, 'Vehicle Register'!$X$5:$X$500, 0)), "")</f>
        <v/>
      </c>
      <c r="U28" s="20" t="str">
        <f aca="false">IFERROR(INDEX('Vehicle Register'!$U$5:$U$500, MATCH(24, 'Vehicle Register'!$X$5:$X$500, 0)), "")</f>
        <v/>
      </c>
      <c r="V28" s="21" t="str">
        <f aca="false">IFERROR(INDEX('Vehicle Register'!$V$5:$V$500, MATCH(24, 'Vehicle Register'!$X$5:$X$500, 0)), "")</f>
        <v/>
      </c>
      <c r="W28" s="22" t="str">
        <f aca="false">IFERROR(INDEX('Vehicle Register'!$W$5:$W$500, MATCH(24, 'Vehicle Register'!$X$5:$X$500, 0)), "")</f>
        <v/>
      </c>
    </row>
    <row r="29" customFormat="false" ht="15" hidden="false" customHeight="false" outlineLevel="0" collapsed="false">
      <c r="A29" s="18" t="str">
        <f aca="false">IFERROR(INDEX('Vehicle Register'!$A$5:$A$500, MATCH(25, 'Vehicle Register'!$X$5:$X$500, 0)), "")</f>
        <v/>
      </c>
      <c r="B29" s="18" t="str">
        <f aca="false">IFERROR(INDEX('Vehicle Register'!$B$5:$B$500, MATCH(25, 'Vehicle Register'!$X$5:$X$500, 0)), "")</f>
        <v/>
      </c>
      <c r="C29" s="18" t="str">
        <f aca="false">IFERROR(INDEX('Vehicle Register'!$C$5:$C$500, MATCH(25, 'Vehicle Register'!$X$5:$X$500, 0)), "")</f>
        <v/>
      </c>
      <c r="D29" s="18" t="str">
        <f aca="false">IFERROR(INDEX('Vehicle Register'!$D$5:$D$500, MATCH(25, 'Vehicle Register'!$X$5:$X$500, 0)), "")</f>
        <v/>
      </c>
      <c r="E29" s="18" t="str">
        <f aca="false">IFERROR(INDEX('Vehicle Register'!$E$5:$E$500, MATCH(25, 'Vehicle Register'!$X$5:$X$500, 0)), "")</f>
        <v/>
      </c>
      <c r="F29" s="18" t="str">
        <f aca="false">IFERROR(INDEX('Vehicle Register'!$F$5:$F$500, MATCH(25, 'Vehicle Register'!$X$5:$X$500, 0)), "")</f>
        <v/>
      </c>
      <c r="G29" s="18" t="str">
        <f aca="false">IFERROR(INDEX('Vehicle Register'!$G$5:$G$500, MATCH(25, 'Vehicle Register'!$X$5:$X$500, 0)), "")</f>
        <v/>
      </c>
      <c r="H29" s="18" t="str">
        <f aca="false">IFERROR(INDEX('Vehicle Register'!$H$5:$H$500, MATCH(25, 'Vehicle Register'!$X$5:$X$500, 0)), "")</f>
        <v/>
      </c>
      <c r="I29" s="18" t="str">
        <f aca="false">IFERROR(INDEX('Vehicle Register'!$I$5:$I$500, MATCH(25, 'Vehicle Register'!$X$5:$X$500, 0)), "")</f>
        <v/>
      </c>
      <c r="J29" s="18" t="str">
        <f aca="false">IFERROR(INDEX('Vehicle Register'!$J$5:$J$500, MATCH(25, 'Vehicle Register'!$X$5:$X$500, 0)), "")</f>
        <v/>
      </c>
      <c r="K29" s="19" t="str">
        <f aca="false">IFERROR(INDEX('Vehicle Register'!$K$5:$K$500, MATCH(25, 'Vehicle Register'!$X$5:$X$500, 0)), "")</f>
        <v/>
      </c>
      <c r="L29" s="20" t="str">
        <f aca="false">IFERROR(INDEX('Vehicle Register'!$L$5:$L$500, MATCH(25, 'Vehicle Register'!$X$5:$X$500, 0)), "")</f>
        <v/>
      </c>
      <c r="M29" s="20" t="str">
        <f aca="false">IFERROR(INDEX('Vehicle Register'!$M$5:$M$500, MATCH(25, 'Vehicle Register'!$X$5:$X$500, 0)), "")</f>
        <v/>
      </c>
      <c r="N29" s="20" t="str">
        <f aca="false">IFERROR(INDEX('Vehicle Register'!$N$5:$N$500, MATCH(25, 'Vehicle Register'!$X$5:$X$500, 0)), "")</f>
        <v/>
      </c>
      <c r="O29" s="18" t="str">
        <f aca="false">IFERROR(INDEX('Vehicle Register'!$O$5:$O$500, MATCH(25, 'Vehicle Register'!$X$5:$X$500, 0)), "")</f>
        <v/>
      </c>
      <c r="P29" s="18" t="str">
        <f aca="false">IFERROR(INDEX('Vehicle Register'!$P$5:$P$500, MATCH(25, 'Vehicle Register'!$X$5:$X$500, 0)), "")</f>
        <v/>
      </c>
      <c r="Q29" s="20" t="str">
        <f aca="false">IFERROR(INDEX('Vehicle Register'!$Q$5:$Q$500, MATCH(25, 'Vehicle Register'!$X$5:$X$500, 0)), "")</f>
        <v/>
      </c>
      <c r="R29" s="19" t="str">
        <f aca="false">IFERROR(INDEX('Vehicle Register'!$R$5:$R$500, MATCH(25, 'Vehicle Register'!$X$5:$X$500, 0)), "")</f>
        <v/>
      </c>
      <c r="S29" s="20" t="str">
        <f aca="false">IFERROR(INDEX('Vehicle Register'!$S$5:$S$500, MATCH(25, 'Vehicle Register'!$X$5:$X$500, 0)), "")</f>
        <v/>
      </c>
      <c r="T29" s="18" t="str">
        <f aca="false">IFERROR(INDEX('Vehicle Register'!$T$5:$T$500, MATCH(25, 'Vehicle Register'!$X$5:$X$500, 0)), "")</f>
        <v/>
      </c>
      <c r="U29" s="20" t="str">
        <f aca="false">IFERROR(INDEX('Vehicle Register'!$U$5:$U$500, MATCH(25, 'Vehicle Register'!$X$5:$X$500, 0)), "")</f>
        <v/>
      </c>
      <c r="V29" s="21" t="str">
        <f aca="false">IFERROR(INDEX('Vehicle Register'!$V$5:$V$500, MATCH(25, 'Vehicle Register'!$X$5:$X$500, 0)), "")</f>
        <v/>
      </c>
      <c r="W29" s="22" t="str">
        <f aca="false">IFERROR(INDEX('Vehicle Register'!$W$5:$W$500, MATCH(25, 'Vehicle Register'!$X$5:$X$500, 0)), "")</f>
        <v/>
      </c>
    </row>
    <row r="30" customFormat="false" ht="15" hidden="false" customHeight="false" outlineLevel="0" collapsed="false">
      <c r="A30" s="18" t="str">
        <f aca="false">IFERROR(INDEX('Vehicle Register'!$A$5:$A$500, MATCH(26, 'Vehicle Register'!$X$5:$X$500, 0)), "")</f>
        <v/>
      </c>
      <c r="B30" s="18" t="str">
        <f aca="false">IFERROR(INDEX('Vehicle Register'!$B$5:$B$500, MATCH(26, 'Vehicle Register'!$X$5:$X$500, 0)), "")</f>
        <v/>
      </c>
      <c r="C30" s="18" t="str">
        <f aca="false">IFERROR(INDEX('Vehicle Register'!$C$5:$C$500, MATCH(26, 'Vehicle Register'!$X$5:$X$500, 0)), "")</f>
        <v/>
      </c>
      <c r="D30" s="18" t="str">
        <f aca="false">IFERROR(INDEX('Vehicle Register'!$D$5:$D$500, MATCH(26, 'Vehicle Register'!$X$5:$X$500, 0)), "")</f>
        <v/>
      </c>
      <c r="E30" s="18" t="str">
        <f aca="false">IFERROR(INDEX('Vehicle Register'!$E$5:$E$500, MATCH(26, 'Vehicle Register'!$X$5:$X$500, 0)), "")</f>
        <v/>
      </c>
      <c r="F30" s="18" t="str">
        <f aca="false">IFERROR(INDEX('Vehicle Register'!$F$5:$F$500, MATCH(26, 'Vehicle Register'!$X$5:$X$500, 0)), "")</f>
        <v/>
      </c>
      <c r="G30" s="18" t="str">
        <f aca="false">IFERROR(INDEX('Vehicle Register'!$G$5:$G$500, MATCH(26, 'Vehicle Register'!$X$5:$X$500, 0)), "")</f>
        <v/>
      </c>
      <c r="H30" s="18" t="str">
        <f aca="false">IFERROR(INDEX('Vehicle Register'!$H$5:$H$500, MATCH(26, 'Vehicle Register'!$X$5:$X$500, 0)), "")</f>
        <v/>
      </c>
      <c r="I30" s="18" t="str">
        <f aca="false">IFERROR(INDEX('Vehicle Register'!$I$5:$I$500, MATCH(26, 'Vehicle Register'!$X$5:$X$500, 0)), "")</f>
        <v/>
      </c>
      <c r="J30" s="18" t="str">
        <f aca="false">IFERROR(INDEX('Vehicle Register'!$J$5:$J$500, MATCH(26, 'Vehicle Register'!$X$5:$X$500, 0)), "")</f>
        <v/>
      </c>
      <c r="K30" s="19" t="str">
        <f aca="false">IFERROR(INDEX('Vehicle Register'!$K$5:$K$500, MATCH(26, 'Vehicle Register'!$X$5:$X$500, 0)), "")</f>
        <v/>
      </c>
      <c r="L30" s="20" t="str">
        <f aca="false">IFERROR(INDEX('Vehicle Register'!$L$5:$L$500, MATCH(26, 'Vehicle Register'!$X$5:$X$500, 0)), "")</f>
        <v/>
      </c>
      <c r="M30" s="20" t="str">
        <f aca="false">IFERROR(INDEX('Vehicle Register'!$M$5:$M$500, MATCH(26, 'Vehicle Register'!$X$5:$X$500, 0)), "")</f>
        <v/>
      </c>
      <c r="N30" s="20" t="str">
        <f aca="false">IFERROR(INDEX('Vehicle Register'!$N$5:$N$500, MATCH(26, 'Vehicle Register'!$X$5:$X$500, 0)), "")</f>
        <v/>
      </c>
      <c r="O30" s="18" t="str">
        <f aca="false">IFERROR(INDEX('Vehicle Register'!$O$5:$O$500, MATCH(26, 'Vehicle Register'!$X$5:$X$500, 0)), "")</f>
        <v/>
      </c>
      <c r="P30" s="18" t="str">
        <f aca="false">IFERROR(INDEX('Vehicle Register'!$P$5:$P$500, MATCH(26, 'Vehicle Register'!$X$5:$X$500, 0)), "")</f>
        <v/>
      </c>
      <c r="Q30" s="20" t="str">
        <f aca="false">IFERROR(INDEX('Vehicle Register'!$Q$5:$Q$500, MATCH(26, 'Vehicle Register'!$X$5:$X$500, 0)), "")</f>
        <v/>
      </c>
      <c r="R30" s="19" t="str">
        <f aca="false">IFERROR(INDEX('Vehicle Register'!$R$5:$R$500, MATCH(26, 'Vehicle Register'!$X$5:$X$500, 0)), "")</f>
        <v/>
      </c>
      <c r="S30" s="20" t="str">
        <f aca="false">IFERROR(INDEX('Vehicle Register'!$S$5:$S$500, MATCH(26, 'Vehicle Register'!$X$5:$X$500, 0)), "")</f>
        <v/>
      </c>
      <c r="T30" s="18" t="str">
        <f aca="false">IFERROR(INDEX('Vehicle Register'!$T$5:$T$500, MATCH(26, 'Vehicle Register'!$X$5:$X$500, 0)), "")</f>
        <v/>
      </c>
      <c r="U30" s="20" t="str">
        <f aca="false">IFERROR(INDEX('Vehicle Register'!$U$5:$U$500, MATCH(26, 'Vehicle Register'!$X$5:$X$500, 0)), "")</f>
        <v/>
      </c>
      <c r="V30" s="21" t="str">
        <f aca="false">IFERROR(INDEX('Vehicle Register'!$V$5:$V$500, MATCH(26, 'Vehicle Register'!$X$5:$X$500, 0)), "")</f>
        <v/>
      </c>
      <c r="W30" s="22" t="str">
        <f aca="false">IFERROR(INDEX('Vehicle Register'!$W$5:$W$500, MATCH(26, 'Vehicle Register'!$X$5:$X$500, 0)), "")</f>
        <v/>
      </c>
    </row>
    <row r="31" customFormat="false" ht="15" hidden="false" customHeight="false" outlineLevel="0" collapsed="false">
      <c r="A31" s="18" t="str">
        <f aca="false">IFERROR(INDEX('Vehicle Register'!$A$5:$A$500, MATCH(27, 'Vehicle Register'!$X$5:$X$500, 0)), "")</f>
        <v/>
      </c>
      <c r="B31" s="18" t="str">
        <f aca="false">IFERROR(INDEX('Vehicle Register'!$B$5:$B$500, MATCH(27, 'Vehicle Register'!$X$5:$X$500, 0)), "")</f>
        <v/>
      </c>
      <c r="C31" s="18" t="str">
        <f aca="false">IFERROR(INDEX('Vehicle Register'!$C$5:$C$500, MATCH(27, 'Vehicle Register'!$X$5:$X$500, 0)), "")</f>
        <v/>
      </c>
      <c r="D31" s="18" t="str">
        <f aca="false">IFERROR(INDEX('Vehicle Register'!$D$5:$D$500, MATCH(27, 'Vehicle Register'!$X$5:$X$500, 0)), "")</f>
        <v/>
      </c>
      <c r="E31" s="18" t="str">
        <f aca="false">IFERROR(INDEX('Vehicle Register'!$E$5:$E$500, MATCH(27, 'Vehicle Register'!$X$5:$X$500, 0)), "")</f>
        <v/>
      </c>
      <c r="F31" s="18" t="str">
        <f aca="false">IFERROR(INDEX('Vehicle Register'!$F$5:$F$500, MATCH(27, 'Vehicle Register'!$X$5:$X$500, 0)), "")</f>
        <v/>
      </c>
      <c r="G31" s="18" t="str">
        <f aca="false">IFERROR(INDEX('Vehicle Register'!$G$5:$G$500, MATCH(27, 'Vehicle Register'!$X$5:$X$500, 0)), "")</f>
        <v/>
      </c>
      <c r="H31" s="18" t="str">
        <f aca="false">IFERROR(INDEX('Vehicle Register'!$H$5:$H$500, MATCH(27, 'Vehicle Register'!$X$5:$X$500, 0)), "")</f>
        <v/>
      </c>
      <c r="I31" s="18" t="str">
        <f aca="false">IFERROR(INDEX('Vehicle Register'!$I$5:$I$500, MATCH(27, 'Vehicle Register'!$X$5:$X$500, 0)), "")</f>
        <v/>
      </c>
      <c r="J31" s="18" t="str">
        <f aca="false">IFERROR(INDEX('Vehicle Register'!$J$5:$J$500, MATCH(27, 'Vehicle Register'!$X$5:$X$500, 0)), "")</f>
        <v/>
      </c>
      <c r="K31" s="19" t="str">
        <f aca="false">IFERROR(INDEX('Vehicle Register'!$K$5:$K$500, MATCH(27, 'Vehicle Register'!$X$5:$X$500, 0)), "")</f>
        <v/>
      </c>
      <c r="L31" s="20" t="str">
        <f aca="false">IFERROR(INDEX('Vehicle Register'!$L$5:$L$500, MATCH(27, 'Vehicle Register'!$X$5:$X$500, 0)), "")</f>
        <v/>
      </c>
      <c r="M31" s="20" t="str">
        <f aca="false">IFERROR(INDEX('Vehicle Register'!$M$5:$M$500, MATCH(27, 'Vehicle Register'!$X$5:$X$500, 0)), "")</f>
        <v/>
      </c>
      <c r="N31" s="20" t="str">
        <f aca="false">IFERROR(INDEX('Vehicle Register'!$N$5:$N$500, MATCH(27, 'Vehicle Register'!$X$5:$X$500, 0)), "")</f>
        <v/>
      </c>
      <c r="O31" s="18" t="str">
        <f aca="false">IFERROR(INDEX('Vehicle Register'!$O$5:$O$500, MATCH(27, 'Vehicle Register'!$X$5:$X$500, 0)), "")</f>
        <v/>
      </c>
      <c r="P31" s="18" t="str">
        <f aca="false">IFERROR(INDEX('Vehicle Register'!$P$5:$P$500, MATCH(27, 'Vehicle Register'!$X$5:$X$500, 0)), "")</f>
        <v/>
      </c>
      <c r="Q31" s="20" t="str">
        <f aca="false">IFERROR(INDEX('Vehicle Register'!$Q$5:$Q$500, MATCH(27, 'Vehicle Register'!$X$5:$X$500, 0)), "")</f>
        <v/>
      </c>
      <c r="R31" s="19" t="str">
        <f aca="false">IFERROR(INDEX('Vehicle Register'!$R$5:$R$500, MATCH(27, 'Vehicle Register'!$X$5:$X$500, 0)), "")</f>
        <v/>
      </c>
      <c r="S31" s="20" t="str">
        <f aca="false">IFERROR(INDEX('Vehicle Register'!$S$5:$S$500, MATCH(27, 'Vehicle Register'!$X$5:$X$500, 0)), "")</f>
        <v/>
      </c>
      <c r="T31" s="18" t="str">
        <f aca="false">IFERROR(INDEX('Vehicle Register'!$T$5:$T$500, MATCH(27, 'Vehicle Register'!$X$5:$X$500, 0)), "")</f>
        <v/>
      </c>
      <c r="U31" s="20" t="str">
        <f aca="false">IFERROR(INDEX('Vehicle Register'!$U$5:$U$500, MATCH(27, 'Vehicle Register'!$X$5:$X$500, 0)), "")</f>
        <v/>
      </c>
      <c r="V31" s="21" t="str">
        <f aca="false">IFERROR(INDEX('Vehicle Register'!$V$5:$V$500, MATCH(27, 'Vehicle Register'!$X$5:$X$500, 0)), "")</f>
        <v/>
      </c>
      <c r="W31" s="22" t="str">
        <f aca="false">IFERROR(INDEX('Vehicle Register'!$W$5:$W$500, MATCH(27, 'Vehicle Register'!$X$5:$X$500, 0)), "")</f>
        <v/>
      </c>
    </row>
    <row r="32" customFormat="false" ht="15" hidden="false" customHeight="false" outlineLevel="0" collapsed="false">
      <c r="A32" s="18" t="str">
        <f aca="false">IFERROR(INDEX('Vehicle Register'!$A$5:$A$500, MATCH(28, 'Vehicle Register'!$X$5:$X$500, 0)), "")</f>
        <v/>
      </c>
      <c r="B32" s="18" t="str">
        <f aca="false">IFERROR(INDEX('Vehicle Register'!$B$5:$B$500, MATCH(28, 'Vehicle Register'!$X$5:$X$500, 0)), "")</f>
        <v/>
      </c>
      <c r="C32" s="18" t="str">
        <f aca="false">IFERROR(INDEX('Vehicle Register'!$C$5:$C$500, MATCH(28, 'Vehicle Register'!$X$5:$X$500, 0)), "")</f>
        <v/>
      </c>
      <c r="D32" s="18" t="str">
        <f aca="false">IFERROR(INDEX('Vehicle Register'!$D$5:$D$500, MATCH(28, 'Vehicle Register'!$X$5:$X$500, 0)), "")</f>
        <v/>
      </c>
      <c r="E32" s="18" t="str">
        <f aca="false">IFERROR(INDEX('Vehicle Register'!$E$5:$E$500, MATCH(28, 'Vehicle Register'!$X$5:$X$500, 0)), "")</f>
        <v/>
      </c>
      <c r="F32" s="18" t="str">
        <f aca="false">IFERROR(INDEX('Vehicle Register'!$F$5:$F$500, MATCH(28, 'Vehicle Register'!$X$5:$X$500, 0)), "")</f>
        <v/>
      </c>
      <c r="G32" s="18" t="str">
        <f aca="false">IFERROR(INDEX('Vehicle Register'!$G$5:$G$500, MATCH(28, 'Vehicle Register'!$X$5:$X$500, 0)), "")</f>
        <v/>
      </c>
      <c r="H32" s="18" t="str">
        <f aca="false">IFERROR(INDEX('Vehicle Register'!$H$5:$H$500, MATCH(28, 'Vehicle Register'!$X$5:$X$500, 0)), "")</f>
        <v/>
      </c>
      <c r="I32" s="18" t="str">
        <f aca="false">IFERROR(INDEX('Vehicle Register'!$I$5:$I$500, MATCH(28, 'Vehicle Register'!$X$5:$X$500, 0)), "")</f>
        <v/>
      </c>
      <c r="J32" s="18" t="str">
        <f aca="false">IFERROR(INDEX('Vehicle Register'!$J$5:$J$500, MATCH(28, 'Vehicle Register'!$X$5:$X$500, 0)), "")</f>
        <v/>
      </c>
      <c r="K32" s="19" t="str">
        <f aca="false">IFERROR(INDEX('Vehicle Register'!$K$5:$K$500, MATCH(28, 'Vehicle Register'!$X$5:$X$500, 0)), "")</f>
        <v/>
      </c>
      <c r="L32" s="20" t="str">
        <f aca="false">IFERROR(INDEX('Vehicle Register'!$L$5:$L$500, MATCH(28, 'Vehicle Register'!$X$5:$X$500, 0)), "")</f>
        <v/>
      </c>
      <c r="M32" s="20" t="str">
        <f aca="false">IFERROR(INDEX('Vehicle Register'!$M$5:$M$500, MATCH(28, 'Vehicle Register'!$X$5:$X$500, 0)), "")</f>
        <v/>
      </c>
      <c r="N32" s="20" t="str">
        <f aca="false">IFERROR(INDEX('Vehicle Register'!$N$5:$N$500, MATCH(28, 'Vehicle Register'!$X$5:$X$500, 0)), "")</f>
        <v/>
      </c>
      <c r="O32" s="18" t="str">
        <f aca="false">IFERROR(INDEX('Vehicle Register'!$O$5:$O$500, MATCH(28, 'Vehicle Register'!$X$5:$X$500, 0)), "")</f>
        <v/>
      </c>
      <c r="P32" s="18" t="str">
        <f aca="false">IFERROR(INDEX('Vehicle Register'!$P$5:$P$500, MATCH(28, 'Vehicle Register'!$X$5:$X$500, 0)), "")</f>
        <v/>
      </c>
      <c r="Q32" s="20" t="str">
        <f aca="false">IFERROR(INDEX('Vehicle Register'!$Q$5:$Q$500, MATCH(28, 'Vehicle Register'!$X$5:$X$500, 0)), "")</f>
        <v/>
      </c>
      <c r="R32" s="19" t="str">
        <f aca="false">IFERROR(INDEX('Vehicle Register'!$R$5:$R$500, MATCH(28, 'Vehicle Register'!$X$5:$X$500, 0)), "")</f>
        <v/>
      </c>
      <c r="S32" s="20" t="str">
        <f aca="false">IFERROR(INDEX('Vehicle Register'!$S$5:$S$500, MATCH(28, 'Vehicle Register'!$X$5:$X$500, 0)), "")</f>
        <v/>
      </c>
      <c r="T32" s="18" t="str">
        <f aca="false">IFERROR(INDEX('Vehicle Register'!$T$5:$T$500, MATCH(28, 'Vehicle Register'!$X$5:$X$500, 0)), "")</f>
        <v/>
      </c>
      <c r="U32" s="20" t="str">
        <f aca="false">IFERROR(INDEX('Vehicle Register'!$U$5:$U$500, MATCH(28, 'Vehicle Register'!$X$5:$X$500, 0)), "")</f>
        <v/>
      </c>
      <c r="V32" s="21" t="str">
        <f aca="false">IFERROR(INDEX('Vehicle Register'!$V$5:$V$500, MATCH(28, 'Vehicle Register'!$X$5:$X$500, 0)), "")</f>
        <v/>
      </c>
      <c r="W32" s="22" t="str">
        <f aca="false">IFERROR(INDEX('Vehicle Register'!$W$5:$W$500, MATCH(28, 'Vehicle Register'!$X$5:$X$500, 0)), "")</f>
        <v/>
      </c>
    </row>
    <row r="33" customFormat="false" ht="15" hidden="false" customHeight="false" outlineLevel="0" collapsed="false">
      <c r="A33" s="18" t="str">
        <f aca="false">IFERROR(INDEX('Vehicle Register'!$A$5:$A$500, MATCH(29, 'Vehicle Register'!$X$5:$X$500, 0)), "")</f>
        <v/>
      </c>
      <c r="B33" s="18" t="str">
        <f aca="false">IFERROR(INDEX('Vehicle Register'!$B$5:$B$500, MATCH(29, 'Vehicle Register'!$X$5:$X$500, 0)), "")</f>
        <v/>
      </c>
      <c r="C33" s="18" t="str">
        <f aca="false">IFERROR(INDEX('Vehicle Register'!$C$5:$C$500, MATCH(29, 'Vehicle Register'!$X$5:$X$500, 0)), "")</f>
        <v/>
      </c>
      <c r="D33" s="18" t="str">
        <f aca="false">IFERROR(INDEX('Vehicle Register'!$D$5:$D$500, MATCH(29, 'Vehicle Register'!$X$5:$X$500, 0)), "")</f>
        <v/>
      </c>
      <c r="E33" s="18" t="str">
        <f aca="false">IFERROR(INDEX('Vehicle Register'!$E$5:$E$500, MATCH(29, 'Vehicle Register'!$X$5:$X$500, 0)), "")</f>
        <v/>
      </c>
      <c r="F33" s="18" t="str">
        <f aca="false">IFERROR(INDEX('Vehicle Register'!$F$5:$F$500, MATCH(29, 'Vehicle Register'!$X$5:$X$500, 0)), "")</f>
        <v/>
      </c>
      <c r="G33" s="18" t="str">
        <f aca="false">IFERROR(INDEX('Vehicle Register'!$G$5:$G$500, MATCH(29, 'Vehicle Register'!$X$5:$X$500, 0)), "")</f>
        <v/>
      </c>
      <c r="H33" s="18" t="str">
        <f aca="false">IFERROR(INDEX('Vehicle Register'!$H$5:$H$500, MATCH(29, 'Vehicle Register'!$X$5:$X$500, 0)), "")</f>
        <v/>
      </c>
      <c r="I33" s="18" t="str">
        <f aca="false">IFERROR(INDEX('Vehicle Register'!$I$5:$I$500, MATCH(29, 'Vehicle Register'!$X$5:$X$500, 0)), "")</f>
        <v/>
      </c>
      <c r="J33" s="18" t="str">
        <f aca="false">IFERROR(INDEX('Vehicle Register'!$J$5:$J$500, MATCH(29, 'Vehicle Register'!$X$5:$X$500, 0)), "")</f>
        <v/>
      </c>
      <c r="K33" s="19" t="str">
        <f aca="false">IFERROR(INDEX('Vehicle Register'!$K$5:$K$500, MATCH(29, 'Vehicle Register'!$X$5:$X$500, 0)), "")</f>
        <v/>
      </c>
      <c r="L33" s="20" t="str">
        <f aca="false">IFERROR(INDEX('Vehicle Register'!$L$5:$L$500, MATCH(29, 'Vehicle Register'!$X$5:$X$500, 0)), "")</f>
        <v/>
      </c>
      <c r="M33" s="20" t="str">
        <f aca="false">IFERROR(INDEX('Vehicle Register'!$M$5:$M$500, MATCH(29, 'Vehicle Register'!$X$5:$X$500, 0)), "")</f>
        <v/>
      </c>
      <c r="N33" s="20" t="str">
        <f aca="false">IFERROR(INDEX('Vehicle Register'!$N$5:$N$500, MATCH(29, 'Vehicle Register'!$X$5:$X$500, 0)), "")</f>
        <v/>
      </c>
      <c r="O33" s="18" t="str">
        <f aca="false">IFERROR(INDEX('Vehicle Register'!$O$5:$O$500, MATCH(29, 'Vehicle Register'!$X$5:$X$500, 0)), "")</f>
        <v/>
      </c>
      <c r="P33" s="18" t="str">
        <f aca="false">IFERROR(INDEX('Vehicle Register'!$P$5:$P$500, MATCH(29, 'Vehicle Register'!$X$5:$X$500, 0)), "")</f>
        <v/>
      </c>
      <c r="Q33" s="20" t="str">
        <f aca="false">IFERROR(INDEX('Vehicle Register'!$Q$5:$Q$500, MATCH(29, 'Vehicle Register'!$X$5:$X$500, 0)), "")</f>
        <v/>
      </c>
      <c r="R33" s="19" t="str">
        <f aca="false">IFERROR(INDEX('Vehicle Register'!$R$5:$R$500, MATCH(29, 'Vehicle Register'!$X$5:$X$500, 0)), "")</f>
        <v/>
      </c>
      <c r="S33" s="20" t="str">
        <f aca="false">IFERROR(INDEX('Vehicle Register'!$S$5:$S$500, MATCH(29, 'Vehicle Register'!$X$5:$X$500, 0)), "")</f>
        <v/>
      </c>
      <c r="T33" s="18" t="str">
        <f aca="false">IFERROR(INDEX('Vehicle Register'!$T$5:$T$500, MATCH(29, 'Vehicle Register'!$X$5:$X$500, 0)), "")</f>
        <v/>
      </c>
      <c r="U33" s="20" t="str">
        <f aca="false">IFERROR(INDEX('Vehicle Register'!$U$5:$U$500, MATCH(29, 'Vehicle Register'!$X$5:$X$500, 0)), "")</f>
        <v/>
      </c>
      <c r="V33" s="21" t="str">
        <f aca="false">IFERROR(INDEX('Vehicle Register'!$V$5:$V$500, MATCH(29, 'Vehicle Register'!$X$5:$X$500, 0)), "")</f>
        <v/>
      </c>
      <c r="W33" s="22" t="str">
        <f aca="false">IFERROR(INDEX('Vehicle Register'!$W$5:$W$500, MATCH(29, 'Vehicle Register'!$X$5:$X$500, 0)), "")</f>
        <v/>
      </c>
    </row>
    <row r="34" customFormat="false" ht="15" hidden="false" customHeight="false" outlineLevel="0" collapsed="false">
      <c r="A34" s="18" t="str">
        <f aca="false">IFERROR(INDEX('Vehicle Register'!$A$5:$A$500, MATCH(30, 'Vehicle Register'!$X$5:$X$500, 0)), "")</f>
        <v/>
      </c>
      <c r="B34" s="18" t="str">
        <f aca="false">IFERROR(INDEX('Vehicle Register'!$B$5:$B$500, MATCH(30, 'Vehicle Register'!$X$5:$X$500, 0)), "")</f>
        <v/>
      </c>
      <c r="C34" s="18" t="str">
        <f aca="false">IFERROR(INDEX('Vehicle Register'!$C$5:$C$500, MATCH(30, 'Vehicle Register'!$X$5:$X$500, 0)), "")</f>
        <v/>
      </c>
      <c r="D34" s="18" t="str">
        <f aca="false">IFERROR(INDEX('Vehicle Register'!$D$5:$D$500, MATCH(30, 'Vehicle Register'!$X$5:$X$500, 0)), "")</f>
        <v/>
      </c>
      <c r="E34" s="18" t="str">
        <f aca="false">IFERROR(INDEX('Vehicle Register'!$E$5:$E$500, MATCH(30, 'Vehicle Register'!$X$5:$X$500, 0)), "")</f>
        <v/>
      </c>
      <c r="F34" s="18" t="str">
        <f aca="false">IFERROR(INDEX('Vehicle Register'!$F$5:$F$500, MATCH(30, 'Vehicle Register'!$X$5:$X$500, 0)), "")</f>
        <v/>
      </c>
      <c r="G34" s="18" t="str">
        <f aca="false">IFERROR(INDEX('Vehicle Register'!$G$5:$G$500, MATCH(30, 'Vehicle Register'!$X$5:$X$500, 0)), "")</f>
        <v/>
      </c>
      <c r="H34" s="18" t="str">
        <f aca="false">IFERROR(INDEX('Vehicle Register'!$H$5:$H$500, MATCH(30, 'Vehicle Register'!$X$5:$X$500, 0)), "")</f>
        <v/>
      </c>
      <c r="I34" s="18" t="str">
        <f aca="false">IFERROR(INDEX('Vehicle Register'!$I$5:$I$500, MATCH(30, 'Vehicle Register'!$X$5:$X$500, 0)), "")</f>
        <v/>
      </c>
      <c r="J34" s="18" t="str">
        <f aca="false">IFERROR(INDEX('Vehicle Register'!$J$5:$J$500, MATCH(30, 'Vehicle Register'!$X$5:$X$500, 0)), "")</f>
        <v/>
      </c>
      <c r="K34" s="19" t="str">
        <f aca="false">IFERROR(INDEX('Vehicle Register'!$K$5:$K$500, MATCH(30, 'Vehicle Register'!$X$5:$X$500, 0)), "")</f>
        <v/>
      </c>
      <c r="L34" s="20" t="str">
        <f aca="false">IFERROR(INDEX('Vehicle Register'!$L$5:$L$500, MATCH(30, 'Vehicle Register'!$X$5:$X$500, 0)), "")</f>
        <v/>
      </c>
      <c r="M34" s="20" t="str">
        <f aca="false">IFERROR(INDEX('Vehicle Register'!$M$5:$M$500, MATCH(30, 'Vehicle Register'!$X$5:$X$500, 0)), "")</f>
        <v/>
      </c>
      <c r="N34" s="20" t="str">
        <f aca="false">IFERROR(INDEX('Vehicle Register'!$N$5:$N$500, MATCH(30, 'Vehicle Register'!$X$5:$X$500, 0)), "")</f>
        <v/>
      </c>
      <c r="O34" s="18" t="str">
        <f aca="false">IFERROR(INDEX('Vehicle Register'!$O$5:$O$500, MATCH(30, 'Vehicle Register'!$X$5:$X$500, 0)), "")</f>
        <v/>
      </c>
      <c r="P34" s="18" t="str">
        <f aca="false">IFERROR(INDEX('Vehicle Register'!$P$5:$P$500, MATCH(30, 'Vehicle Register'!$X$5:$X$500, 0)), "")</f>
        <v/>
      </c>
      <c r="Q34" s="20" t="str">
        <f aca="false">IFERROR(INDEX('Vehicle Register'!$Q$5:$Q$500, MATCH(30, 'Vehicle Register'!$X$5:$X$500, 0)), "")</f>
        <v/>
      </c>
      <c r="R34" s="19" t="str">
        <f aca="false">IFERROR(INDEX('Vehicle Register'!$R$5:$R$500, MATCH(30, 'Vehicle Register'!$X$5:$X$500, 0)), "")</f>
        <v/>
      </c>
      <c r="S34" s="20" t="str">
        <f aca="false">IFERROR(INDEX('Vehicle Register'!$S$5:$S$500, MATCH(30, 'Vehicle Register'!$X$5:$X$500, 0)), "")</f>
        <v/>
      </c>
      <c r="T34" s="18" t="str">
        <f aca="false">IFERROR(INDEX('Vehicle Register'!$T$5:$T$500, MATCH(30, 'Vehicle Register'!$X$5:$X$500, 0)), "")</f>
        <v/>
      </c>
      <c r="U34" s="20" t="str">
        <f aca="false">IFERROR(INDEX('Vehicle Register'!$U$5:$U$500, MATCH(30, 'Vehicle Register'!$X$5:$X$500, 0)), "")</f>
        <v/>
      </c>
      <c r="V34" s="21" t="str">
        <f aca="false">IFERROR(INDEX('Vehicle Register'!$V$5:$V$500, MATCH(30, 'Vehicle Register'!$X$5:$X$500, 0)), "")</f>
        <v/>
      </c>
      <c r="W34" s="22" t="str">
        <f aca="false">IFERROR(INDEX('Vehicle Register'!$W$5:$W$500, MATCH(30, 'Vehicle Register'!$X$5:$X$500, 0)), "")</f>
        <v/>
      </c>
    </row>
    <row r="35" customFormat="false" ht="15" hidden="false" customHeight="false" outlineLevel="0" collapsed="false">
      <c r="A35" s="18" t="str">
        <f aca="false">IFERROR(INDEX('Vehicle Register'!$A$5:$A$500, MATCH(31, 'Vehicle Register'!$X$5:$X$500, 0)), "")</f>
        <v/>
      </c>
      <c r="B35" s="18" t="str">
        <f aca="false">IFERROR(INDEX('Vehicle Register'!$B$5:$B$500, MATCH(31, 'Vehicle Register'!$X$5:$X$500, 0)), "")</f>
        <v/>
      </c>
      <c r="C35" s="18" t="str">
        <f aca="false">IFERROR(INDEX('Vehicle Register'!$C$5:$C$500, MATCH(31, 'Vehicle Register'!$X$5:$X$500, 0)), "")</f>
        <v/>
      </c>
      <c r="D35" s="18" t="str">
        <f aca="false">IFERROR(INDEX('Vehicle Register'!$D$5:$D$500, MATCH(31, 'Vehicle Register'!$X$5:$X$500, 0)), "")</f>
        <v/>
      </c>
      <c r="E35" s="18" t="str">
        <f aca="false">IFERROR(INDEX('Vehicle Register'!$E$5:$E$500, MATCH(31, 'Vehicle Register'!$X$5:$X$500, 0)), "")</f>
        <v/>
      </c>
      <c r="F35" s="18" t="str">
        <f aca="false">IFERROR(INDEX('Vehicle Register'!$F$5:$F$500, MATCH(31, 'Vehicle Register'!$X$5:$X$500, 0)), "")</f>
        <v/>
      </c>
      <c r="G35" s="18" t="str">
        <f aca="false">IFERROR(INDEX('Vehicle Register'!$G$5:$G$500, MATCH(31, 'Vehicle Register'!$X$5:$X$500, 0)), "")</f>
        <v/>
      </c>
      <c r="H35" s="18" t="str">
        <f aca="false">IFERROR(INDEX('Vehicle Register'!$H$5:$H$500, MATCH(31, 'Vehicle Register'!$X$5:$X$500, 0)), "")</f>
        <v/>
      </c>
      <c r="I35" s="18" t="str">
        <f aca="false">IFERROR(INDEX('Vehicle Register'!$I$5:$I$500, MATCH(31, 'Vehicle Register'!$X$5:$X$500, 0)), "")</f>
        <v/>
      </c>
      <c r="J35" s="18" t="str">
        <f aca="false">IFERROR(INDEX('Vehicle Register'!$J$5:$J$500, MATCH(31, 'Vehicle Register'!$X$5:$X$500, 0)), "")</f>
        <v/>
      </c>
      <c r="K35" s="19" t="str">
        <f aca="false">IFERROR(INDEX('Vehicle Register'!$K$5:$K$500, MATCH(31, 'Vehicle Register'!$X$5:$X$500, 0)), "")</f>
        <v/>
      </c>
      <c r="L35" s="20" t="str">
        <f aca="false">IFERROR(INDEX('Vehicle Register'!$L$5:$L$500, MATCH(31, 'Vehicle Register'!$X$5:$X$500, 0)), "")</f>
        <v/>
      </c>
      <c r="M35" s="20" t="str">
        <f aca="false">IFERROR(INDEX('Vehicle Register'!$M$5:$M$500, MATCH(31, 'Vehicle Register'!$X$5:$X$500, 0)), "")</f>
        <v/>
      </c>
      <c r="N35" s="20" t="str">
        <f aca="false">IFERROR(INDEX('Vehicle Register'!$N$5:$N$500, MATCH(31, 'Vehicle Register'!$X$5:$X$500, 0)), "")</f>
        <v/>
      </c>
      <c r="O35" s="18" t="str">
        <f aca="false">IFERROR(INDEX('Vehicle Register'!$O$5:$O$500, MATCH(31, 'Vehicle Register'!$X$5:$X$500, 0)), "")</f>
        <v/>
      </c>
      <c r="P35" s="18" t="str">
        <f aca="false">IFERROR(INDEX('Vehicle Register'!$P$5:$P$500, MATCH(31, 'Vehicle Register'!$X$5:$X$500, 0)), "")</f>
        <v/>
      </c>
      <c r="Q35" s="20" t="str">
        <f aca="false">IFERROR(INDEX('Vehicle Register'!$Q$5:$Q$500, MATCH(31, 'Vehicle Register'!$X$5:$X$500, 0)), "")</f>
        <v/>
      </c>
      <c r="R35" s="19" t="str">
        <f aca="false">IFERROR(INDEX('Vehicle Register'!$R$5:$R$500, MATCH(31, 'Vehicle Register'!$X$5:$X$500, 0)), "")</f>
        <v/>
      </c>
      <c r="S35" s="20" t="str">
        <f aca="false">IFERROR(INDEX('Vehicle Register'!$S$5:$S$500, MATCH(31, 'Vehicle Register'!$X$5:$X$500, 0)), "")</f>
        <v/>
      </c>
      <c r="T35" s="18" t="str">
        <f aca="false">IFERROR(INDEX('Vehicle Register'!$T$5:$T$500, MATCH(31, 'Vehicle Register'!$X$5:$X$500, 0)), "")</f>
        <v/>
      </c>
      <c r="U35" s="20" t="str">
        <f aca="false">IFERROR(INDEX('Vehicle Register'!$U$5:$U$500, MATCH(31, 'Vehicle Register'!$X$5:$X$500, 0)), "")</f>
        <v/>
      </c>
      <c r="V35" s="21" t="str">
        <f aca="false">IFERROR(INDEX('Vehicle Register'!$V$5:$V$500, MATCH(31, 'Vehicle Register'!$X$5:$X$500, 0)), "")</f>
        <v/>
      </c>
      <c r="W35" s="22" t="str">
        <f aca="false">IFERROR(INDEX('Vehicle Register'!$W$5:$W$500, MATCH(31, 'Vehicle Register'!$X$5:$X$500, 0)), "")</f>
        <v/>
      </c>
    </row>
    <row r="36" customFormat="false" ht="15" hidden="false" customHeight="false" outlineLevel="0" collapsed="false">
      <c r="A36" s="18" t="str">
        <f aca="false">IFERROR(INDEX('Vehicle Register'!$A$5:$A$500, MATCH(32, 'Vehicle Register'!$X$5:$X$500, 0)), "")</f>
        <v/>
      </c>
      <c r="B36" s="18" t="str">
        <f aca="false">IFERROR(INDEX('Vehicle Register'!$B$5:$B$500, MATCH(32, 'Vehicle Register'!$X$5:$X$500, 0)), "")</f>
        <v/>
      </c>
      <c r="C36" s="18" t="str">
        <f aca="false">IFERROR(INDEX('Vehicle Register'!$C$5:$C$500, MATCH(32, 'Vehicle Register'!$X$5:$X$500, 0)), "")</f>
        <v/>
      </c>
      <c r="D36" s="18" t="str">
        <f aca="false">IFERROR(INDEX('Vehicle Register'!$D$5:$D$500, MATCH(32, 'Vehicle Register'!$X$5:$X$500, 0)), "")</f>
        <v/>
      </c>
      <c r="E36" s="18" t="str">
        <f aca="false">IFERROR(INDEX('Vehicle Register'!$E$5:$E$500, MATCH(32, 'Vehicle Register'!$X$5:$X$500, 0)), "")</f>
        <v/>
      </c>
      <c r="F36" s="18" t="str">
        <f aca="false">IFERROR(INDEX('Vehicle Register'!$F$5:$F$500, MATCH(32, 'Vehicle Register'!$X$5:$X$500, 0)), "")</f>
        <v/>
      </c>
      <c r="G36" s="18" t="str">
        <f aca="false">IFERROR(INDEX('Vehicle Register'!$G$5:$G$500, MATCH(32, 'Vehicle Register'!$X$5:$X$500, 0)), "")</f>
        <v/>
      </c>
      <c r="H36" s="18" t="str">
        <f aca="false">IFERROR(INDEX('Vehicle Register'!$H$5:$H$500, MATCH(32, 'Vehicle Register'!$X$5:$X$500, 0)), "")</f>
        <v/>
      </c>
      <c r="I36" s="18" t="str">
        <f aca="false">IFERROR(INDEX('Vehicle Register'!$I$5:$I$500, MATCH(32, 'Vehicle Register'!$X$5:$X$500, 0)), "")</f>
        <v/>
      </c>
      <c r="J36" s="18" t="str">
        <f aca="false">IFERROR(INDEX('Vehicle Register'!$J$5:$J$500, MATCH(32, 'Vehicle Register'!$X$5:$X$500, 0)), "")</f>
        <v/>
      </c>
      <c r="K36" s="19" t="str">
        <f aca="false">IFERROR(INDEX('Vehicle Register'!$K$5:$K$500, MATCH(32, 'Vehicle Register'!$X$5:$X$500, 0)), "")</f>
        <v/>
      </c>
      <c r="L36" s="20" t="str">
        <f aca="false">IFERROR(INDEX('Vehicle Register'!$L$5:$L$500, MATCH(32, 'Vehicle Register'!$X$5:$X$500, 0)), "")</f>
        <v/>
      </c>
      <c r="M36" s="20" t="str">
        <f aca="false">IFERROR(INDEX('Vehicle Register'!$M$5:$M$500, MATCH(32, 'Vehicle Register'!$X$5:$X$500, 0)), "")</f>
        <v/>
      </c>
      <c r="N36" s="20" t="str">
        <f aca="false">IFERROR(INDEX('Vehicle Register'!$N$5:$N$500, MATCH(32, 'Vehicle Register'!$X$5:$X$500, 0)), "")</f>
        <v/>
      </c>
      <c r="O36" s="18" t="str">
        <f aca="false">IFERROR(INDEX('Vehicle Register'!$O$5:$O$500, MATCH(32, 'Vehicle Register'!$X$5:$X$500, 0)), "")</f>
        <v/>
      </c>
      <c r="P36" s="18" t="str">
        <f aca="false">IFERROR(INDEX('Vehicle Register'!$P$5:$P$500, MATCH(32, 'Vehicle Register'!$X$5:$X$500, 0)), "")</f>
        <v/>
      </c>
      <c r="Q36" s="20" t="str">
        <f aca="false">IFERROR(INDEX('Vehicle Register'!$Q$5:$Q$500, MATCH(32, 'Vehicle Register'!$X$5:$X$500, 0)), "")</f>
        <v/>
      </c>
      <c r="R36" s="19" t="str">
        <f aca="false">IFERROR(INDEX('Vehicle Register'!$R$5:$R$500, MATCH(32, 'Vehicle Register'!$X$5:$X$500, 0)), "")</f>
        <v/>
      </c>
      <c r="S36" s="20" t="str">
        <f aca="false">IFERROR(INDEX('Vehicle Register'!$S$5:$S$500, MATCH(32, 'Vehicle Register'!$X$5:$X$500, 0)), "")</f>
        <v/>
      </c>
      <c r="T36" s="18" t="str">
        <f aca="false">IFERROR(INDEX('Vehicle Register'!$T$5:$T$500, MATCH(32, 'Vehicle Register'!$X$5:$X$500, 0)), "")</f>
        <v/>
      </c>
      <c r="U36" s="20" t="str">
        <f aca="false">IFERROR(INDEX('Vehicle Register'!$U$5:$U$500, MATCH(32, 'Vehicle Register'!$X$5:$X$500, 0)), "")</f>
        <v/>
      </c>
      <c r="V36" s="21" t="str">
        <f aca="false">IFERROR(INDEX('Vehicle Register'!$V$5:$V$500, MATCH(32, 'Vehicle Register'!$X$5:$X$500, 0)), "")</f>
        <v/>
      </c>
      <c r="W36" s="22" t="str">
        <f aca="false">IFERROR(INDEX('Vehicle Register'!$W$5:$W$500, MATCH(32, 'Vehicle Register'!$X$5:$X$500, 0)), "")</f>
        <v/>
      </c>
    </row>
    <row r="37" customFormat="false" ht="15" hidden="false" customHeight="false" outlineLevel="0" collapsed="false">
      <c r="A37" s="18" t="str">
        <f aca="false">IFERROR(INDEX('Vehicle Register'!$A$5:$A$500, MATCH(33, 'Vehicle Register'!$X$5:$X$500, 0)), "")</f>
        <v/>
      </c>
      <c r="B37" s="18" t="str">
        <f aca="false">IFERROR(INDEX('Vehicle Register'!$B$5:$B$500, MATCH(33, 'Vehicle Register'!$X$5:$X$500, 0)), "")</f>
        <v/>
      </c>
      <c r="C37" s="18" t="str">
        <f aca="false">IFERROR(INDEX('Vehicle Register'!$C$5:$C$500, MATCH(33, 'Vehicle Register'!$X$5:$X$500, 0)), "")</f>
        <v/>
      </c>
      <c r="D37" s="18" t="str">
        <f aca="false">IFERROR(INDEX('Vehicle Register'!$D$5:$D$500, MATCH(33, 'Vehicle Register'!$X$5:$X$500, 0)), "")</f>
        <v/>
      </c>
      <c r="E37" s="18" t="str">
        <f aca="false">IFERROR(INDEX('Vehicle Register'!$E$5:$E$500, MATCH(33, 'Vehicle Register'!$X$5:$X$500, 0)), "")</f>
        <v/>
      </c>
      <c r="F37" s="18" t="str">
        <f aca="false">IFERROR(INDEX('Vehicle Register'!$F$5:$F$500, MATCH(33, 'Vehicle Register'!$X$5:$X$500, 0)), "")</f>
        <v/>
      </c>
      <c r="G37" s="18" t="str">
        <f aca="false">IFERROR(INDEX('Vehicle Register'!$G$5:$G$500, MATCH(33, 'Vehicle Register'!$X$5:$X$500, 0)), "")</f>
        <v/>
      </c>
      <c r="H37" s="18" t="str">
        <f aca="false">IFERROR(INDEX('Vehicle Register'!$H$5:$H$500, MATCH(33, 'Vehicle Register'!$X$5:$X$500, 0)), "")</f>
        <v/>
      </c>
      <c r="I37" s="18" t="str">
        <f aca="false">IFERROR(INDEX('Vehicle Register'!$I$5:$I$500, MATCH(33, 'Vehicle Register'!$X$5:$X$500, 0)), "")</f>
        <v/>
      </c>
      <c r="J37" s="18" t="str">
        <f aca="false">IFERROR(INDEX('Vehicle Register'!$J$5:$J$500, MATCH(33, 'Vehicle Register'!$X$5:$X$500, 0)), "")</f>
        <v/>
      </c>
      <c r="K37" s="19" t="str">
        <f aca="false">IFERROR(INDEX('Vehicle Register'!$K$5:$K$500, MATCH(33, 'Vehicle Register'!$X$5:$X$500, 0)), "")</f>
        <v/>
      </c>
      <c r="L37" s="20" t="str">
        <f aca="false">IFERROR(INDEX('Vehicle Register'!$L$5:$L$500, MATCH(33, 'Vehicle Register'!$X$5:$X$500, 0)), "")</f>
        <v/>
      </c>
      <c r="M37" s="20" t="str">
        <f aca="false">IFERROR(INDEX('Vehicle Register'!$M$5:$M$500, MATCH(33, 'Vehicle Register'!$X$5:$X$500, 0)), "")</f>
        <v/>
      </c>
      <c r="N37" s="20" t="str">
        <f aca="false">IFERROR(INDEX('Vehicle Register'!$N$5:$N$500, MATCH(33, 'Vehicle Register'!$X$5:$X$500, 0)), "")</f>
        <v/>
      </c>
      <c r="O37" s="18" t="str">
        <f aca="false">IFERROR(INDEX('Vehicle Register'!$O$5:$O$500, MATCH(33, 'Vehicle Register'!$X$5:$X$500, 0)), "")</f>
        <v/>
      </c>
      <c r="P37" s="18" t="str">
        <f aca="false">IFERROR(INDEX('Vehicle Register'!$P$5:$P$500, MATCH(33, 'Vehicle Register'!$X$5:$X$500, 0)), "")</f>
        <v/>
      </c>
      <c r="Q37" s="20" t="str">
        <f aca="false">IFERROR(INDEX('Vehicle Register'!$Q$5:$Q$500, MATCH(33, 'Vehicle Register'!$X$5:$X$500, 0)), "")</f>
        <v/>
      </c>
      <c r="R37" s="19" t="str">
        <f aca="false">IFERROR(INDEX('Vehicle Register'!$R$5:$R$500, MATCH(33, 'Vehicle Register'!$X$5:$X$500, 0)), "")</f>
        <v/>
      </c>
      <c r="S37" s="20" t="str">
        <f aca="false">IFERROR(INDEX('Vehicle Register'!$S$5:$S$500, MATCH(33, 'Vehicle Register'!$X$5:$X$500, 0)), "")</f>
        <v/>
      </c>
      <c r="T37" s="18" t="str">
        <f aca="false">IFERROR(INDEX('Vehicle Register'!$T$5:$T$500, MATCH(33, 'Vehicle Register'!$X$5:$X$500, 0)), "")</f>
        <v/>
      </c>
      <c r="U37" s="20" t="str">
        <f aca="false">IFERROR(INDEX('Vehicle Register'!$U$5:$U$500, MATCH(33, 'Vehicle Register'!$X$5:$X$500, 0)), "")</f>
        <v/>
      </c>
      <c r="V37" s="21" t="str">
        <f aca="false">IFERROR(INDEX('Vehicle Register'!$V$5:$V$500, MATCH(33, 'Vehicle Register'!$X$5:$X$500, 0)), "")</f>
        <v/>
      </c>
      <c r="W37" s="22" t="str">
        <f aca="false">IFERROR(INDEX('Vehicle Register'!$W$5:$W$500, MATCH(33, 'Vehicle Register'!$X$5:$X$500, 0)), "")</f>
        <v/>
      </c>
    </row>
    <row r="38" customFormat="false" ht="15" hidden="false" customHeight="false" outlineLevel="0" collapsed="false">
      <c r="A38" s="18" t="str">
        <f aca="false">IFERROR(INDEX('Vehicle Register'!$A$5:$A$500, MATCH(34, 'Vehicle Register'!$X$5:$X$500, 0)), "")</f>
        <v/>
      </c>
      <c r="B38" s="18" t="str">
        <f aca="false">IFERROR(INDEX('Vehicle Register'!$B$5:$B$500, MATCH(34, 'Vehicle Register'!$X$5:$X$500, 0)), "")</f>
        <v/>
      </c>
      <c r="C38" s="18" t="str">
        <f aca="false">IFERROR(INDEX('Vehicle Register'!$C$5:$C$500, MATCH(34, 'Vehicle Register'!$X$5:$X$500, 0)), "")</f>
        <v/>
      </c>
      <c r="D38" s="18" t="str">
        <f aca="false">IFERROR(INDEX('Vehicle Register'!$D$5:$D$500, MATCH(34, 'Vehicle Register'!$X$5:$X$500, 0)), "")</f>
        <v/>
      </c>
      <c r="E38" s="18" t="str">
        <f aca="false">IFERROR(INDEX('Vehicle Register'!$E$5:$E$500, MATCH(34, 'Vehicle Register'!$X$5:$X$500, 0)), "")</f>
        <v/>
      </c>
      <c r="F38" s="18" t="str">
        <f aca="false">IFERROR(INDEX('Vehicle Register'!$F$5:$F$500, MATCH(34, 'Vehicle Register'!$X$5:$X$500, 0)), "")</f>
        <v/>
      </c>
      <c r="G38" s="18" t="str">
        <f aca="false">IFERROR(INDEX('Vehicle Register'!$G$5:$G$500, MATCH(34, 'Vehicle Register'!$X$5:$X$500, 0)), "")</f>
        <v/>
      </c>
      <c r="H38" s="18" t="str">
        <f aca="false">IFERROR(INDEX('Vehicle Register'!$H$5:$H$500, MATCH(34, 'Vehicle Register'!$X$5:$X$500, 0)), "")</f>
        <v/>
      </c>
      <c r="I38" s="18" t="str">
        <f aca="false">IFERROR(INDEX('Vehicle Register'!$I$5:$I$500, MATCH(34, 'Vehicle Register'!$X$5:$X$500, 0)), "")</f>
        <v/>
      </c>
      <c r="J38" s="18" t="str">
        <f aca="false">IFERROR(INDEX('Vehicle Register'!$J$5:$J$500, MATCH(34, 'Vehicle Register'!$X$5:$X$500, 0)), "")</f>
        <v/>
      </c>
      <c r="K38" s="19" t="str">
        <f aca="false">IFERROR(INDEX('Vehicle Register'!$K$5:$K$500, MATCH(34, 'Vehicle Register'!$X$5:$X$500, 0)), "")</f>
        <v/>
      </c>
      <c r="L38" s="20" t="str">
        <f aca="false">IFERROR(INDEX('Vehicle Register'!$L$5:$L$500, MATCH(34, 'Vehicle Register'!$X$5:$X$500, 0)), "")</f>
        <v/>
      </c>
      <c r="M38" s="20" t="str">
        <f aca="false">IFERROR(INDEX('Vehicle Register'!$M$5:$M$500, MATCH(34, 'Vehicle Register'!$X$5:$X$500, 0)), "")</f>
        <v/>
      </c>
      <c r="N38" s="20" t="str">
        <f aca="false">IFERROR(INDEX('Vehicle Register'!$N$5:$N$500, MATCH(34, 'Vehicle Register'!$X$5:$X$500, 0)), "")</f>
        <v/>
      </c>
      <c r="O38" s="18" t="str">
        <f aca="false">IFERROR(INDEX('Vehicle Register'!$O$5:$O$500, MATCH(34, 'Vehicle Register'!$X$5:$X$500, 0)), "")</f>
        <v/>
      </c>
      <c r="P38" s="18" t="str">
        <f aca="false">IFERROR(INDEX('Vehicle Register'!$P$5:$P$500, MATCH(34, 'Vehicle Register'!$X$5:$X$500, 0)), "")</f>
        <v/>
      </c>
      <c r="Q38" s="20" t="str">
        <f aca="false">IFERROR(INDEX('Vehicle Register'!$Q$5:$Q$500, MATCH(34, 'Vehicle Register'!$X$5:$X$500, 0)), "")</f>
        <v/>
      </c>
      <c r="R38" s="19" t="str">
        <f aca="false">IFERROR(INDEX('Vehicle Register'!$R$5:$R$500, MATCH(34, 'Vehicle Register'!$X$5:$X$500, 0)), "")</f>
        <v/>
      </c>
      <c r="S38" s="20" t="str">
        <f aca="false">IFERROR(INDEX('Vehicle Register'!$S$5:$S$500, MATCH(34, 'Vehicle Register'!$X$5:$X$500, 0)), "")</f>
        <v/>
      </c>
      <c r="T38" s="18" t="str">
        <f aca="false">IFERROR(INDEX('Vehicle Register'!$T$5:$T$500, MATCH(34, 'Vehicle Register'!$X$5:$X$500, 0)), "")</f>
        <v/>
      </c>
      <c r="U38" s="20" t="str">
        <f aca="false">IFERROR(INDEX('Vehicle Register'!$U$5:$U$500, MATCH(34, 'Vehicle Register'!$X$5:$X$500, 0)), "")</f>
        <v/>
      </c>
      <c r="V38" s="21" t="str">
        <f aca="false">IFERROR(INDEX('Vehicle Register'!$V$5:$V$500, MATCH(34, 'Vehicle Register'!$X$5:$X$500, 0)), "")</f>
        <v/>
      </c>
      <c r="W38" s="22" t="str">
        <f aca="false">IFERROR(INDEX('Vehicle Register'!$W$5:$W$500, MATCH(34, 'Vehicle Register'!$X$5:$X$500, 0)), "")</f>
        <v/>
      </c>
    </row>
    <row r="39" customFormat="false" ht="15" hidden="false" customHeight="false" outlineLevel="0" collapsed="false">
      <c r="A39" s="18" t="str">
        <f aca="false">IFERROR(INDEX('Vehicle Register'!$A$5:$A$500, MATCH(35, 'Vehicle Register'!$X$5:$X$500, 0)), "")</f>
        <v/>
      </c>
      <c r="B39" s="18" t="str">
        <f aca="false">IFERROR(INDEX('Vehicle Register'!$B$5:$B$500, MATCH(35, 'Vehicle Register'!$X$5:$X$500, 0)), "")</f>
        <v/>
      </c>
      <c r="C39" s="18" t="str">
        <f aca="false">IFERROR(INDEX('Vehicle Register'!$C$5:$C$500, MATCH(35, 'Vehicle Register'!$X$5:$X$500, 0)), "")</f>
        <v/>
      </c>
      <c r="D39" s="18" t="str">
        <f aca="false">IFERROR(INDEX('Vehicle Register'!$D$5:$D$500, MATCH(35, 'Vehicle Register'!$X$5:$X$500, 0)), "")</f>
        <v/>
      </c>
      <c r="E39" s="18" t="str">
        <f aca="false">IFERROR(INDEX('Vehicle Register'!$E$5:$E$500, MATCH(35, 'Vehicle Register'!$X$5:$X$500, 0)), "")</f>
        <v/>
      </c>
      <c r="F39" s="18" t="str">
        <f aca="false">IFERROR(INDEX('Vehicle Register'!$F$5:$F$500, MATCH(35, 'Vehicle Register'!$X$5:$X$500, 0)), "")</f>
        <v/>
      </c>
      <c r="G39" s="18" t="str">
        <f aca="false">IFERROR(INDEX('Vehicle Register'!$G$5:$G$500, MATCH(35, 'Vehicle Register'!$X$5:$X$500, 0)), "")</f>
        <v/>
      </c>
      <c r="H39" s="18" t="str">
        <f aca="false">IFERROR(INDEX('Vehicle Register'!$H$5:$H$500, MATCH(35, 'Vehicle Register'!$X$5:$X$500, 0)), "")</f>
        <v/>
      </c>
      <c r="I39" s="18" t="str">
        <f aca="false">IFERROR(INDEX('Vehicle Register'!$I$5:$I$500, MATCH(35, 'Vehicle Register'!$X$5:$X$500, 0)), "")</f>
        <v/>
      </c>
      <c r="J39" s="18" t="str">
        <f aca="false">IFERROR(INDEX('Vehicle Register'!$J$5:$J$500, MATCH(35, 'Vehicle Register'!$X$5:$X$500, 0)), "")</f>
        <v/>
      </c>
      <c r="K39" s="19" t="str">
        <f aca="false">IFERROR(INDEX('Vehicle Register'!$K$5:$K$500, MATCH(35, 'Vehicle Register'!$X$5:$X$500, 0)), "")</f>
        <v/>
      </c>
      <c r="L39" s="20" t="str">
        <f aca="false">IFERROR(INDEX('Vehicle Register'!$L$5:$L$500, MATCH(35, 'Vehicle Register'!$X$5:$X$500, 0)), "")</f>
        <v/>
      </c>
      <c r="M39" s="20" t="str">
        <f aca="false">IFERROR(INDEX('Vehicle Register'!$M$5:$M$500, MATCH(35, 'Vehicle Register'!$X$5:$X$500, 0)), "")</f>
        <v/>
      </c>
      <c r="N39" s="20" t="str">
        <f aca="false">IFERROR(INDEX('Vehicle Register'!$N$5:$N$500, MATCH(35, 'Vehicle Register'!$X$5:$X$500, 0)), "")</f>
        <v/>
      </c>
      <c r="O39" s="18" t="str">
        <f aca="false">IFERROR(INDEX('Vehicle Register'!$O$5:$O$500, MATCH(35, 'Vehicle Register'!$X$5:$X$500, 0)), "")</f>
        <v/>
      </c>
      <c r="P39" s="18" t="str">
        <f aca="false">IFERROR(INDEX('Vehicle Register'!$P$5:$P$500, MATCH(35, 'Vehicle Register'!$X$5:$X$500, 0)), "")</f>
        <v/>
      </c>
      <c r="Q39" s="20" t="str">
        <f aca="false">IFERROR(INDEX('Vehicle Register'!$Q$5:$Q$500, MATCH(35, 'Vehicle Register'!$X$5:$X$500, 0)), "")</f>
        <v/>
      </c>
      <c r="R39" s="19" t="str">
        <f aca="false">IFERROR(INDEX('Vehicle Register'!$R$5:$R$500, MATCH(35, 'Vehicle Register'!$X$5:$X$500, 0)), "")</f>
        <v/>
      </c>
      <c r="S39" s="20" t="str">
        <f aca="false">IFERROR(INDEX('Vehicle Register'!$S$5:$S$500, MATCH(35, 'Vehicle Register'!$X$5:$X$500, 0)), "")</f>
        <v/>
      </c>
      <c r="T39" s="18" t="str">
        <f aca="false">IFERROR(INDEX('Vehicle Register'!$T$5:$T$500, MATCH(35, 'Vehicle Register'!$X$5:$X$500, 0)), "")</f>
        <v/>
      </c>
      <c r="U39" s="20" t="str">
        <f aca="false">IFERROR(INDEX('Vehicle Register'!$U$5:$U$500, MATCH(35, 'Vehicle Register'!$X$5:$X$500, 0)), "")</f>
        <v/>
      </c>
      <c r="V39" s="21" t="str">
        <f aca="false">IFERROR(INDEX('Vehicle Register'!$V$5:$V$500, MATCH(35, 'Vehicle Register'!$X$5:$X$500, 0)), "")</f>
        <v/>
      </c>
      <c r="W39" s="22" t="str">
        <f aca="false">IFERROR(INDEX('Vehicle Register'!$W$5:$W$500, MATCH(35, 'Vehicle Register'!$X$5:$X$500, 0)), "")</f>
        <v/>
      </c>
    </row>
    <row r="40" customFormat="false" ht="15" hidden="false" customHeight="false" outlineLevel="0" collapsed="false">
      <c r="A40" s="18" t="str">
        <f aca="false">IFERROR(INDEX('Vehicle Register'!$A$5:$A$500, MATCH(36, 'Vehicle Register'!$X$5:$X$500, 0)), "")</f>
        <v/>
      </c>
      <c r="B40" s="18" t="str">
        <f aca="false">IFERROR(INDEX('Vehicle Register'!$B$5:$B$500, MATCH(36, 'Vehicle Register'!$X$5:$X$500, 0)), "")</f>
        <v/>
      </c>
      <c r="C40" s="18" t="str">
        <f aca="false">IFERROR(INDEX('Vehicle Register'!$C$5:$C$500, MATCH(36, 'Vehicle Register'!$X$5:$X$500, 0)), "")</f>
        <v/>
      </c>
      <c r="D40" s="18" t="str">
        <f aca="false">IFERROR(INDEX('Vehicle Register'!$D$5:$D$500, MATCH(36, 'Vehicle Register'!$X$5:$X$500, 0)), "")</f>
        <v/>
      </c>
      <c r="E40" s="18" t="str">
        <f aca="false">IFERROR(INDEX('Vehicle Register'!$E$5:$E$500, MATCH(36, 'Vehicle Register'!$X$5:$X$500, 0)), "")</f>
        <v/>
      </c>
      <c r="F40" s="18" t="str">
        <f aca="false">IFERROR(INDEX('Vehicle Register'!$F$5:$F$500, MATCH(36, 'Vehicle Register'!$X$5:$X$500, 0)), "")</f>
        <v/>
      </c>
      <c r="G40" s="18" t="str">
        <f aca="false">IFERROR(INDEX('Vehicle Register'!$G$5:$G$500, MATCH(36, 'Vehicle Register'!$X$5:$X$500, 0)), "")</f>
        <v/>
      </c>
      <c r="H40" s="18" t="str">
        <f aca="false">IFERROR(INDEX('Vehicle Register'!$H$5:$H$500, MATCH(36, 'Vehicle Register'!$X$5:$X$500, 0)), "")</f>
        <v/>
      </c>
      <c r="I40" s="18" t="str">
        <f aca="false">IFERROR(INDEX('Vehicle Register'!$I$5:$I$500, MATCH(36, 'Vehicle Register'!$X$5:$X$500, 0)), "")</f>
        <v/>
      </c>
      <c r="J40" s="18" t="str">
        <f aca="false">IFERROR(INDEX('Vehicle Register'!$J$5:$J$500, MATCH(36, 'Vehicle Register'!$X$5:$X$500, 0)), "")</f>
        <v/>
      </c>
      <c r="K40" s="19" t="str">
        <f aca="false">IFERROR(INDEX('Vehicle Register'!$K$5:$K$500, MATCH(36, 'Vehicle Register'!$X$5:$X$500, 0)), "")</f>
        <v/>
      </c>
      <c r="L40" s="20" t="str">
        <f aca="false">IFERROR(INDEX('Vehicle Register'!$L$5:$L$500, MATCH(36, 'Vehicle Register'!$X$5:$X$500, 0)), "")</f>
        <v/>
      </c>
      <c r="M40" s="20" t="str">
        <f aca="false">IFERROR(INDEX('Vehicle Register'!$M$5:$M$500, MATCH(36, 'Vehicle Register'!$X$5:$X$500, 0)), "")</f>
        <v/>
      </c>
      <c r="N40" s="20" t="str">
        <f aca="false">IFERROR(INDEX('Vehicle Register'!$N$5:$N$500, MATCH(36, 'Vehicle Register'!$X$5:$X$500, 0)), "")</f>
        <v/>
      </c>
      <c r="O40" s="18" t="str">
        <f aca="false">IFERROR(INDEX('Vehicle Register'!$O$5:$O$500, MATCH(36, 'Vehicle Register'!$X$5:$X$500, 0)), "")</f>
        <v/>
      </c>
      <c r="P40" s="18" t="str">
        <f aca="false">IFERROR(INDEX('Vehicle Register'!$P$5:$P$500, MATCH(36, 'Vehicle Register'!$X$5:$X$500, 0)), "")</f>
        <v/>
      </c>
      <c r="Q40" s="20" t="str">
        <f aca="false">IFERROR(INDEX('Vehicle Register'!$Q$5:$Q$500, MATCH(36, 'Vehicle Register'!$X$5:$X$500, 0)), "")</f>
        <v/>
      </c>
      <c r="R40" s="19" t="str">
        <f aca="false">IFERROR(INDEX('Vehicle Register'!$R$5:$R$500, MATCH(36, 'Vehicle Register'!$X$5:$X$500, 0)), "")</f>
        <v/>
      </c>
      <c r="S40" s="20" t="str">
        <f aca="false">IFERROR(INDEX('Vehicle Register'!$S$5:$S$500, MATCH(36, 'Vehicle Register'!$X$5:$X$500, 0)), "")</f>
        <v/>
      </c>
      <c r="T40" s="18" t="str">
        <f aca="false">IFERROR(INDEX('Vehicle Register'!$T$5:$T$500, MATCH(36, 'Vehicle Register'!$X$5:$X$500, 0)), "")</f>
        <v/>
      </c>
      <c r="U40" s="20" t="str">
        <f aca="false">IFERROR(INDEX('Vehicle Register'!$U$5:$U$500, MATCH(36, 'Vehicle Register'!$X$5:$X$500, 0)), "")</f>
        <v/>
      </c>
      <c r="V40" s="21" t="str">
        <f aca="false">IFERROR(INDEX('Vehicle Register'!$V$5:$V$500, MATCH(36, 'Vehicle Register'!$X$5:$X$500, 0)), "")</f>
        <v/>
      </c>
      <c r="W40" s="22" t="str">
        <f aca="false">IFERROR(INDEX('Vehicle Register'!$W$5:$W$500, MATCH(36, 'Vehicle Register'!$X$5:$X$500, 0)), "")</f>
        <v/>
      </c>
    </row>
    <row r="41" customFormat="false" ht="15" hidden="false" customHeight="false" outlineLevel="0" collapsed="false">
      <c r="A41" s="18" t="str">
        <f aca="false">IFERROR(INDEX('Vehicle Register'!$A$5:$A$500, MATCH(37, 'Vehicle Register'!$X$5:$X$500, 0)), "")</f>
        <v/>
      </c>
      <c r="B41" s="18" t="str">
        <f aca="false">IFERROR(INDEX('Vehicle Register'!$B$5:$B$500, MATCH(37, 'Vehicle Register'!$X$5:$X$500, 0)), "")</f>
        <v/>
      </c>
      <c r="C41" s="18" t="str">
        <f aca="false">IFERROR(INDEX('Vehicle Register'!$C$5:$C$500, MATCH(37, 'Vehicle Register'!$X$5:$X$500, 0)), "")</f>
        <v/>
      </c>
      <c r="D41" s="18" t="str">
        <f aca="false">IFERROR(INDEX('Vehicle Register'!$D$5:$D$500, MATCH(37, 'Vehicle Register'!$X$5:$X$500, 0)), "")</f>
        <v/>
      </c>
      <c r="E41" s="18" t="str">
        <f aca="false">IFERROR(INDEX('Vehicle Register'!$E$5:$E$500, MATCH(37, 'Vehicle Register'!$X$5:$X$500, 0)), "")</f>
        <v/>
      </c>
      <c r="F41" s="18" t="str">
        <f aca="false">IFERROR(INDEX('Vehicle Register'!$F$5:$F$500, MATCH(37, 'Vehicle Register'!$X$5:$X$500, 0)), "")</f>
        <v/>
      </c>
      <c r="G41" s="18" t="str">
        <f aca="false">IFERROR(INDEX('Vehicle Register'!$G$5:$G$500, MATCH(37, 'Vehicle Register'!$X$5:$X$500, 0)), "")</f>
        <v/>
      </c>
      <c r="H41" s="18" t="str">
        <f aca="false">IFERROR(INDEX('Vehicle Register'!$H$5:$H$500, MATCH(37, 'Vehicle Register'!$X$5:$X$500, 0)), "")</f>
        <v/>
      </c>
      <c r="I41" s="18" t="str">
        <f aca="false">IFERROR(INDEX('Vehicle Register'!$I$5:$I$500, MATCH(37, 'Vehicle Register'!$X$5:$X$500, 0)), "")</f>
        <v/>
      </c>
      <c r="J41" s="18" t="str">
        <f aca="false">IFERROR(INDEX('Vehicle Register'!$J$5:$J$500, MATCH(37, 'Vehicle Register'!$X$5:$X$500, 0)), "")</f>
        <v/>
      </c>
      <c r="K41" s="19" t="str">
        <f aca="false">IFERROR(INDEX('Vehicle Register'!$K$5:$K$500, MATCH(37, 'Vehicle Register'!$X$5:$X$500, 0)), "")</f>
        <v/>
      </c>
      <c r="L41" s="20" t="str">
        <f aca="false">IFERROR(INDEX('Vehicle Register'!$L$5:$L$500, MATCH(37, 'Vehicle Register'!$X$5:$X$500, 0)), "")</f>
        <v/>
      </c>
      <c r="M41" s="20" t="str">
        <f aca="false">IFERROR(INDEX('Vehicle Register'!$M$5:$M$500, MATCH(37, 'Vehicle Register'!$X$5:$X$500, 0)), "")</f>
        <v/>
      </c>
      <c r="N41" s="20" t="str">
        <f aca="false">IFERROR(INDEX('Vehicle Register'!$N$5:$N$500, MATCH(37, 'Vehicle Register'!$X$5:$X$500, 0)), "")</f>
        <v/>
      </c>
      <c r="O41" s="18" t="str">
        <f aca="false">IFERROR(INDEX('Vehicle Register'!$O$5:$O$500, MATCH(37, 'Vehicle Register'!$X$5:$X$500, 0)), "")</f>
        <v/>
      </c>
      <c r="P41" s="18" t="str">
        <f aca="false">IFERROR(INDEX('Vehicle Register'!$P$5:$P$500, MATCH(37, 'Vehicle Register'!$X$5:$X$500, 0)), "")</f>
        <v/>
      </c>
      <c r="Q41" s="20" t="str">
        <f aca="false">IFERROR(INDEX('Vehicle Register'!$Q$5:$Q$500, MATCH(37, 'Vehicle Register'!$X$5:$X$500, 0)), "")</f>
        <v/>
      </c>
      <c r="R41" s="19" t="str">
        <f aca="false">IFERROR(INDEX('Vehicle Register'!$R$5:$R$500, MATCH(37, 'Vehicle Register'!$X$5:$X$500, 0)), "")</f>
        <v/>
      </c>
      <c r="S41" s="20" t="str">
        <f aca="false">IFERROR(INDEX('Vehicle Register'!$S$5:$S$500, MATCH(37, 'Vehicle Register'!$X$5:$X$500, 0)), "")</f>
        <v/>
      </c>
      <c r="T41" s="18" t="str">
        <f aca="false">IFERROR(INDEX('Vehicle Register'!$T$5:$T$500, MATCH(37, 'Vehicle Register'!$X$5:$X$500, 0)), "")</f>
        <v/>
      </c>
      <c r="U41" s="20" t="str">
        <f aca="false">IFERROR(INDEX('Vehicle Register'!$U$5:$U$500, MATCH(37, 'Vehicle Register'!$X$5:$X$500, 0)), "")</f>
        <v/>
      </c>
      <c r="V41" s="21" t="str">
        <f aca="false">IFERROR(INDEX('Vehicle Register'!$V$5:$V$500, MATCH(37, 'Vehicle Register'!$X$5:$X$500, 0)), "")</f>
        <v/>
      </c>
      <c r="W41" s="22" t="str">
        <f aca="false">IFERROR(INDEX('Vehicle Register'!$W$5:$W$500, MATCH(37, 'Vehicle Register'!$X$5:$X$500, 0)), "")</f>
        <v/>
      </c>
    </row>
    <row r="42" customFormat="false" ht="15" hidden="false" customHeight="false" outlineLevel="0" collapsed="false">
      <c r="A42" s="18" t="str">
        <f aca="false">IFERROR(INDEX('Vehicle Register'!$A$5:$A$500, MATCH(38, 'Vehicle Register'!$X$5:$X$500, 0)), "")</f>
        <v/>
      </c>
      <c r="B42" s="18" t="str">
        <f aca="false">IFERROR(INDEX('Vehicle Register'!$B$5:$B$500, MATCH(38, 'Vehicle Register'!$X$5:$X$500, 0)), "")</f>
        <v/>
      </c>
      <c r="C42" s="18" t="str">
        <f aca="false">IFERROR(INDEX('Vehicle Register'!$C$5:$C$500, MATCH(38, 'Vehicle Register'!$X$5:$X$500, 0)), "")</f>
        <v/>
      </c>
      <c r="D42" s="18" t="str">
        <f aca="false">IFERROR(INDEX('Vehicle Register'!$D$5:$D$500, MATCH(38, 'Vehicle Register'!$X$5:$X$500, 0)), "")</f>
        <v/>
      </c>
      <c r="E42" s="18" t="str">
        <f aca="false">IFERROR(INDEX('Vehicle Register'!$E$5:$E$500, MATCH(38, 'Vehicle Register'!$X$5:$X$500, 0)), "")</f>
        <v/>
      </c>
      <c r="F42" s="18" t="str">
        <f aca="false">IFERROR(INDEX('Vehicle Register'!$F$5:$F$500, MATCH(38, 'Vehicle Register'!$X$5:$X$500, 0)), "")</f>
        <v/>
      </c>
      <c r="G42" s="18" t="str">
        <f aca="false">IFERROR(INDEX('Vehicle Register'!$G$5:$G$500, MATCH(38, 'Vehicle Register'!$X$5:$X$500, 0)), "")</f>
        <v/>
      </c>
      <c r="H42" s="18" t="str">
        <f aca="false">IFERROR(INDEX('Vehicle Register'!$H$5:$H$500, MATCH(38, 'Vehicle Register'!$X$5:$X$500, 0)), "")</f>
        <v/>
      </c>
      <c r="I42" s="18" t="str">
        <f aca="false">IFERROR(INDEX('Vehicle Register'!$I$5:$I$500, MATCH(38, 'Vehicle Register'!$X$5:$X$500, 0)), "")</f>
        <v/>
      </c>
      <c r="J42" s="18" t="str">
        <f aca="false">IFERROR(INDEX('Vehicle Register'!$J$5:$J$500, MATCH(38, 'Vehicle Register'!$X$5:$X$500, 0)), "")</f>
        <v/>
      </c>
      <c r="K42" s="19" t="str">
        <f aca="false">IFERROR(INDEX('Vehicle Register'!$K$5:$K$500, MATCH(38, 'Vehicle Register'!$X$5:$X$500, 0)), "")</f>
        <v/>
      </c>
      <c r="L42" s="20" t="str">
        <f aca="false">IFERROR(INDEX('Vehicle Register'!$L$5:$L$500, MATCH(38, 'Vehicle Register'!$X$5:$X$500, 0)), "")</f>
        <v/>
      </c>
      <c r="M42" s="20" t="str">
        <f aca="false">IFERROR(INDEX('Vehicle Register'!$M$5:$M$500, MATCH(38, 'Vehicle Register'!$X$5:$X$500, 0)), "")</f>
        <v/>
      </c>
      <c r="N42" s="20" t="str">
        <f aca="false">IFERROR(INDEX('Vehicle Register'!$N$5:$N$500, MATCH(38, 'Vehicle Register'!$X$5:$X$500, 0)), "")</f>
        <v/>
      </c>
      <c r="O42" s="18" t="str">
        <f aca="false">IFERROR(INDEX('Vehicle Register'!$O$5:$O$500, MATCH(38, 'Vehicle Register'!$X$5:$X$500, 0)), "")</f>
        <v/>
      </c>
      <c r="P42" s="18" t="str">
        <f aca="false">IFERROR(INDEX('Vehicle Register'!$P$5:$P$500, MATCH(38, 'Vehicle Register'!$X$5:$X$500, 0)), "")</f>
        <v/>
      </c>
      <c r="Q42" s="20" t="str">
        <f aca="false">IFERROR(INDEX('Vehicle Register'!$Q$5:$Q$500, MATCH(38, 'Vehicle Register'!$X$5:$X$500, 0)), "")</f>
        <v/>
      </c>
      <c r="R42" s="19" t="str">
        <f aca="false">IFERROR(INDEX('Vehicle Register'!$R$5:$R$500, MATCH(38, 'Vehicle Register'!$X$5:$X$500, 0)), "")</f>
        <v/>
      </c>
      <c r="S42" s="20" t="str">
        <f aca="false">IFERROR(INDEX('Vehicle Register'!$S$5:$S$500, MATCH(38, 'Vehicle Register'!$X$5:$X$500, 0)), "")</f>
        <v/>
      </c>
      <c r="T42" s="18" t="str">
        <f aca="false">IFERROR(INDEX('Vehicle Register'!$T$5:$T$500, MATCH(38, 'Vehicle Register'!$X$5:$X$500, 0)), "")</f>
        <v/>
      </c>
      <c r="U42" s="20" t="str">
        <f aca="false">IFERROR(INDEX('Vehicle Register'!$U$5:$U$500, MATCH(38, 'Vehicle Register'!$X$5:$X$500, 0)), "")</f>
        <v/>
      </c>
      <c r="V42" s="21" t="str">
        <f aca="false">IFERROR(INDEX('Vehicle Register'!$V$5:$V$500, MATCH(38, 'Vehicle Register'!$X$5:$X$500, 0)), "")</f>
        <v/>
      </c>
      <c r="W42" s="22" t="str">
        <f aca="false">IFERROR(INDEX('Vehicle Register'!$W$5:$W$500, MATCH(38, 'Vehicle Register'!$X$5:$X$500, 0)), "")</f>
        <v/>
      </c>
    </row>
    <row r="43" customFormat="false" ht="15" hidden="false" customHeight="false" outlineLevel="0" collapsed="false">
      <c r="A43" s="18" t="str">
        <f aca="false">IFERROR(INDEX('Vehicle Register'!$A$5:$A$500, MATCH(39, 'Vehicle Register'!$X$5:$X$500, 0)), "")</f>
        <v/>
      </c>
      <c r="B43" s="18" t="str">
        <f aca="false">IFERROR(INDEX('Vehicle Register'!$B$5:$B$500, MATCH(39, 'Vehicle Register'!$X$5:$X$500, 0)), "")</f>
        <v/>
      </c>
      <c r="C43" s="18" t="str">
        <f aca="false">IFERROR(INDEX('Vehicle Register'!$C$5:$C$500, MATCH(39, 'Vehicle Register'!$X$5:$X$500, 0)), "")</f>
        <v/>
      </c>
      <c r="D43" s="18" t="str">
        <f aca="false">IFERROR(INDEX('Vehicle Register'!$D$5:$D$500, MATCH(39, 'Vehicle Register'!$X$5:$X$500, 0)), "")</f>
        <v/>
      </c>
      <c r="E43" s="18" t="str">
        <f aca="false">IFERROR(INDEX('Vehicle Register'!$E$5:$E$500, MATCH(39, 'Vehicle Register'!$X$5:$X$500, 0)), "")</f>
        <v/>
      </c>
      <c r="F43" s="18" t="str">
        <f aca="false">IFERROR(INDEX('Vehicle Register'!$F$5:$F$500, MATCH(39, 'Vehicle Register'!$X$5:$X$500, 0)), "")</f>
        <v/>
      </c>
      <c r="G43" s="18" t="str">
        <f aca="false">IFERROR(INDEX('Vehicle Register'!$G$5:$G$500, MATCH(39, 'Vehicle Register'!$X$5:$X$500, 0)), "")</f>
        <v/>
      </c>
      <c r="H43" s="18" t="str">
        <f aca="false">IFERROR(INDEX('Vehicle Register'!$H$5:$H$500, MATCH(39, 'Vehicle Register'!$X$5:$X$500, 0)), "")</f>
        <v/>
      </c>
      <c r="I43" s="18" t="str">
        <f aca="false">IFERROR(INDEX('Vehicle Register'!$I$5:$I$500, MATCH(39, 'Vehicle Register'!$X$5:$X$500, 0)), "")</f>
        <v/>
      </c>
      <c r="J43" s="18" t="str">
        <f aca="false">IFERROR(INDEX('Vehicle Register'!$J$5:$J$500, MATCH(39, 'Vehicle Register'!$X$5:$X$500, 0)), "")</f>
        <v/>
      </c>
      <c r="K43" s="19" t="str">
        <f aca="false">IFERROR(INDEX('Vehicle Register'!$K$5:$K$500, MATCH(39, 'Vehicle Register'!$X$5:$X$500, 0)), "")</f>
        <v/>
      </c>
      <c r="L43" s="20" t="str">
        <f aca="false">IFERROR(INDEX('Vehicle Register'!$L$5:$L$500, MATCH(39, 'Vehicle Register'!$X$5:$X$500, 0)), "")</f>
        <v/>
      </c>
      <c r="M43" s="20" t="str">
        <f aca="false">IFERROR(INDEX('Vehicle Register'!$M$5:$M$500, MATCH(39, 'Vehicle Register'!$X$5:$X$500, 0)), "")</f>
        <v/>
      </c>
      <c r="N43" s="20" t="str">
        <f aca="false">IFERROR(INDEX('Vehicle Register'!$N$5:$N$500, MATCH(39, 'Vehicle Register'!$X$5:$X$500, 0)), "")</f>
        <v/>
      </c>
      <c r="O43" s="18" t="str">
        <f aca="false">IFERROR(INDEX('Vehicle Register'!$O$5:$O$500, MATCH(39, 'Vehicle Register'!$X$5:$X$500, 0)), "")</f>
        <v/>
      </c>
      <c r="P43" s="18" t="str">
        <f aca="false">IFERROR(INDEX('Vehicle Register'!$P$5:$P$500, MATCH(39, 'Vehicle Register'!$X$5:$X$500, 0)), "")</f>
        <v/>
      </c>
      <c r="Q43" s="20" t="str">
        <f aca="false">IFERROR(INDEX('Vehicle Register'!$Q$5:$Q$500, MATCH(39, 'Vehicle Register'!$X$5:$X$500, 0)), "")</f>
        <v/>
      </c>
      <c r="R43" s="19" t="str">
        <f aca="false">IFERROR(INDEX('Vehicle Register'!$R$5:$R$500, MATCH(39, 'Vehicle Register'!$X$5:$X$500, 0)), "")</f>
        <v/>
      </c>
      <c r="S43" s="20" t="str">
        <f aca="false">IFERROR(INDEX('Vehicle Register'!$S$5:$S$500, MATCH(39, 'Vehicle Register'!$X$5:$X$500, 0)), "")</f>
        <v/>
      </c>
      <c r="T43" s="18" t="str">
        <f aca="false">IFERROR(INDEX('Vehicle Register'!$T$5:$T$500, MATCH(39, 'Vehicle Register'!$X$5:$X$500, 0)), "")</f>
        <v/>
      </c>
      <c r="U43" s="20" t="str">
        <f aca="false">IFERROR(INDEX('Vehicle Register'!$U$5:$U$500, MATCH(39, 'Vehicle Register'!$X$5:$X$500, 0)), "")</f>
        <v/>
      </c>
      <c r="V43" s="21" t="str">
        <f aca="false">IFERROR(INDEX('Vehicle Register'!$V$5:$V$500, MATCH(39, 'Vehicle Register'!$X$5:$X$500, 0)), "")</f>
        <v/>
      </c>
      <c r="W43" s="22" t="str">
        <f aca="false">IFERROR(INDEX('Vehicle Register'!$W$5:$W$500, MATCH(39, 'Vehicle Register'!$X$5:$X$500, 0)), "")</f>
        <v/>
      </c>
    </row>
    <row r="44" customFormat="false" ht="15" hidden="false" customHeight="false" outlineLevel="0" collapsed="false">
      <c r="A44" s="18" t="str">
        <f aca="false">IFERROR(INDEX('Vehicle Register'!$A$5:$A$500, MATCH(40, 'Vehicle Register'!$X$5:$X$500, 0)), "")</f>
        <v/>
      </c>
      <c r="B44" s="18" t="str">
        <f aca="false">IFERROR(INDEX('Vehicle Register'!$B$5:$B$500, MATCH(40, 'Vehicle Register'!$X$5:$X$500, 0)), "")</f>
        <v/>
      </c>
      <c r="C44" s="18" t="str">
        <f aca="false">IFERROR(INDEX('Vehicle Register'!$C$5:$C$500, MATCH(40, 'Vehicle Register'!$X$5:$X$500, 0)), "")</f>
        <v/>
      </c>
      <c r="D44" s="18" t="str">
        <f aca="false">IFERROR(INDEX('Vehicle Register'!$D$5:$D$500, MATCH(40, 'Vehicle Register'!$X$5:$X$500, 0)), "")</f>
        <v/>
      </c>
      <c r="E44" s="18" t="str">
        <f aca="false">IFERROR(INDEX('Vehicle Register'!$E$5:$E$500, MATCH(40, 'Vehicle Register'!$X$5:$X$500, 0)), "")</f>
        <v/>
      </c>
      <c r="F44" s="18" t="str">
        <f aca="false">IFERROR(INDEX('Vehicle Register'!$F$5:$F$500, MATCH(40, 'Vehicle Register'!$X$5:$X$500, 0)), "")</f>
        <v/>
      </c>
      <c r="G44" s="18" t="str">
        <f aca="false">IFERROR(INDEX('Vehicle Register'!$G$5:$G$500, MATCH(40, 'Vehicle Register'!$X$5:$X$500, 0)), "")</f>
        <v/>
      </c>
      <c r="H44" s="18" t="str">
        <f aca="false">IFERROR(INDEX('Vehicle Register'!$H$5:$H$500, MATCH(40, 'Vehicle Register'!$X$5:$X$500, 0)), "")</f>
        <v/>
      </c>
      <c r="I44" s="18" t="str">
        <f aca="false">IFERROR(INDEX('Vehicle Register'!$I$5:$I$500, MATCH(40, 'Vehicle Register'!$X$5:$X$500, 0)), "")</f>
        <v/>
      </c>
      <c r="J44" s="18" t="str">
        <f aca="false">IFERROR(INDEX('Vehicle Register'!$J$5:$J$500, MATCH(40, 'Vehicle Register'!$X$5:$X$500, 0)), "")</f>
        <v/>
      </c>
      <c r="K44" s="19" t="str">
        <f aca="false">IFERROR(INDEX('Vehicle Register'!$K$5:$K$500, MATCH(40, 'Vehicle Register'!$X$5:$X$500, 0)), "")</f>
        <v/>
      </c>
      <c r="L44" s="20" t="str">
        <f aca="false">IFERROR(INDEX('Vehicle Register'!$L$5:$L$500, MATCH(40, 'Vehicle Register'!$X$5:$X$500, 0)), "")</f>
        <v/>
      </c>
      <c r="M44" s="20" t="str">
        <f aca="false">IFERROR(INDEX('Vehicle Register'!$M$5:$M$500, MATCH(40, 'Vehicle Register'!$X$5:$X$500, 0)), "")</f>
        <v/>
      </c>
      <c r="N44" s="20" t="str">
        <f aca="false">IFERROR(INDEX('Vehicle Register'!$N$5:$N$500, MATCH(40, 'Vehicle Register'!$X$5:$X$500, 0)), "")</f>
        <v/>
      </c>
      <c r="O44" s="18" t="str">
        <f aca="false">IFERROR(INDEX('Vehicle Register'!$O$5:$O$500, MATCH(40, 'Vehicle Register'!$X$5:$X$500, 0)), "")</f>
        <v/>
      </c>
      <c r="P44" s="18" t="str">
        <f aca="false">IFERROR(INDEX('Vehicle Register'!$P$5:$P$500, MATCH(40, 'Vehicle Register'!$X$5:$X$500, 0)), "")</f>
        <v/>
      </c>
      <c r="Q44" s="20" t="str">
        <f aca="false">IFERROR(INDEX('Vehicle Register'!$Q$5:$Q$500, MATCH(40, 'Vehicle Register'!$X$5:$X$500, 0)), "")</f>
        <v/>
      </c>
      <c r="R44" s="19" t="str">
        <f aca="false">IFERROR(INDEX('Vehicle Register'!$R$5:$R$500, MATCH(40, 'Vehicle Register'!$X$5:$X$500, 0)), "")</f>
        <v/>
      </c>
      <c r="S44" s="20" t="str">
        <f aca="false">IFERROR(INDEX('Vehicle Register'!$S$5:$S$500, MATCH(40, 'Vehicle Register'!$X$5:$X$500, 0)), "")</f>
        <v/>
      </c>
      <c r="T44" s="18" t="str">
        <f aca="false">IFERROR(INDEX('Vehicle Register'!$T$5:$T$500, MATCH(40, 'Vehicle Register'!$X$5:$X$500, 0)), "")</f>
        <v/>
      </c>
      <c r="U44" s="20" t="str">
        <f aca="false">IFERROR(INDEX('Vehicle Register'!$U$5:$U$500, MATCH(40, 'Vehicle Register'!$X$5:$X$500, 0)), "")</f>
        <v/>
      </c>
      <c r="V44" s="21" t="str">
        <f aca="false">IFERROR(INDEX('Vehicle Register'!$V$5:$V$500, MATCH(40, 'Vehicle Register'!$X$5:$X$500, 0)), "")</f>
        <v/>
      </c>
      <c r="W44" s="22" t="str">
        <f aca="false">IFERROR(INDEX('Vehicle Register'!$W$5:$W$500, MATCH(40, 'Vehicle Register'!$X$5:$X$500, 0)), "")</f>
        <v/>
      </c>
    </row>
    <row r="45" customFormat="false" ht="15" hidden="false" customHeight="false" outlineLevel="0" collapsed="false">
      <c r="A45" s="18" t="str">
        <f aca="false">IFERROR(INDEX('Vehicle Register'!$A$5:$A$500, MATCH(41, 'Vehicle Register'!$X$5:$X$500, 0)), "")</f>
        <v/>
      </c>
      <c r="B45" s="18" t="str">
        <f aca="false">IFERROR(INDEX('Vehicle Register'!$B$5:$B$500, MATCH(41, 'Vehicle Register'!$X$5:$X$500, 0)), "")</f>
        <v/>
      </c>
      <c r="C45" s="18" t="str">
        <f aca="false">IFERROR(INDEX('Vehicle Register'!$C$5:$C$500, MATCH(41, 'Vehicle Register'!$X$5:$X$500, 0)), "")</f>
        <v/>
      </c>
      <c r="D45" s="18" t="str">
        <f aca="false">IFERROR(INDEX('Vehicle Register'!$D$5:$D$500, MATCH(41, 'Vehicle Register'!$X$5:$X$500, 0)), "")</f>
        <v/>
      </c>
      <c r="E45" s="18" t="str">
        <f aca="false">IFERROR(INDEX('Vehicle Register'!$E$5:$E$500, MATCH(41, 'Vehicle Register'!$X$5:$X$500, 0)), "")</f>
        <v/>
      </c>
      <c r="F45" s="18" t="str">
        <f aca="false">IFERROR(INDEX('Vehicle Register'!$F$5:$F$500, MATCH(41, 'Vehicle Register'!$X$5:$X$500, 0)), "")</f>
        <v/>
      </c>
      <c r="G45" s="18" t="str">
        <f aca="false">IFERROR(INDEX('Vehicle Register'!$G$5:$G$500, MATCH(41, 'Vehicle Register'!$X$5:$X$500, 0)), "")</f>
        <v/>
      </c>
      <c r="H45" s="18" t="str">
        <f aca="false">IFERROR(INDEX('Vehicle Register'!$H$5:$H$500, MATCH(41, 'Vehicle Register'!$X$5:$X$500, 0)), "")</f>
        <v/>
      </c>
      <c r="I45" s="18" t="str">
        <f aca="false">IFERROR(INDEX('Vehicle Register'!$I$5:$I$500, MATCH(41, 'Vehicle Register'!$X$5:$X$500, 0)), "")</f>
        <v/>
      </c>
      <c r="J45" s="18" t="str">
        <f aca="false">IFERROR(INDEX('Vehicle Register'!$J$5:$J$500, MATCH(41, 'Vehicle Register'!$X$5:$X$500, 0)), "")</f>
        <v/>
      </c>
      <c r="K45" s="19" t="str">
        <f aca="false">IFERROR(INDEX('Vehicle Register'!$K$5:$K$500, MATCH(41, 'Vehicle Register'!$X$5:$X$500, 0)), "")</f>
        <v/>
      </c>
      <c r="L45" s="20" t="str">
        <f aca="false">IFERROR(INDEX('Vehicle Register'!$L$5:$L$500, MATCH(41, 'Vehicle Register'!$X$5:$X$500, 0)), "")</f>
        <v/>
      </c>
      <c r="M45" s="20" t="str">
        <f aca="false">IFERROR(INDEX('Vehicle Register'!$M$5:$M$500, MATCH(41, 'Vehicle Register'!$X$5:$X$500, 0)), "")</f>
        <v/>
      </c>
      <c r="N45" s="20" t="str">
        <f aca="false">IFERROR(INDEX('Vehicle Register'!$N$5:$N$500, MATCH(41, 'Vehicle Register'!$X$5:$X$500, 0)), "")</f>
        <v/>
      </c>
      <c r="O45" s="18" t="str">
        <f aca="false">IFERROR(INDEX('Vehicle Register'!$O$5:$O$500, MATCH(41, 'Vehicle Register'!$X$5:$X$500, 0)), "")</f>
        <v/>
      </c>
      <c r="P45" s="18" t="str">
        <f aca="false">IFERROR(INDEX('Vehicle Register'!$P$5:$P$500, MATCH(41, 'Vehicle Register'!$X$5:$X$500, 0)), "")</f>
        <v/>
      </c>
      <c r="Q45" s="20" t="str">
        <f aca="false">IFERROR(INDEX('Vehicle Register'!$Q$5:$Q$500, MATCH(41, 'Vehicle Register'!$X$5:$X$500, 0)), "")</f>
        <v/>
      </c>
      <c r="R45" s="19" t="str">
        <f aca="false">IFERROR(INDEX('Vehicle Register'!$R$5:$R$500, MATCH(41, 'Vehicle Register'!$X$5:$X$500, 0)), "")</f>
        <v/>
      </c>
      <c r="S45" s="20" t="str">
        <f aca="false">IFERROR(INDEX('Vehicle Register'!$S$5:$S$500, MATCH(41, 'Vehicle Register'!$X$5:$X$500, 0)), "")</f>
        <v/>
      </c>
      <c r="T45" s="18" t="str">
        <f aca="false">IFERROR(INDEX('Vehicle Register'!$T$5:$T$500, MATCH(41, 'Vehicle Register'!$X$5:$X$500, 0)), "")</f>
        <v/>
      </c>
      <c r="U45" s="20" t="str">
        <f aca="false">IFERROR(INDEX('Vehicle Register'!$U$5:$U$500, MATCH(41, 'Vehicle Register'!$X$5:$X$500, 0)), "")</f>
        <v/>
      </c>
      <c r="V45" s="21" t="str">
        <f aca="false">IFERROR(INDEX('Vehicle Register'!$V$5:$V$500, MATCH(41, 'Vehicle Register'!$X$5:$X$500, 0)), "")</f>
        <v/>
      </c>
      <c r="W45" s="22" t="str">
        <f aca="false">IFERROR(INDEX('Vehicle Register'!$W$5:$W$500, MATCH(41, 'Vehicle Register'!$X$5:$X$500, 0)), "")</f>
        <v/>
      </c>
    </row>
    <row r="46" customFormat="false" ht="15" hidden="false" customHeight="false" outlineLevel="0" collapsed="false">
      <c r="A46" s="18" t="str">
        <f aca="false">IFERROR(INDEX('Vehicle Register'!$A$5:$A$500, MATCH(42, 'Vehicle Register'!$X$5:$X$500, 0)), "")</f>
        <v/>
      </c>
      <c r="B46" s="18" t="str">
        <f aca="false">IFERROR(INDEX('Vehicle Register'!$B$5:$B$500, MATCH(42, 'Vehicle Register'!$X$5:$X$500, 0)), "")</f>
        <v/>
      </c>
      <c r="C46" s="18" t="str">
        <f aca="false">IFERROR(INDEX('Vehicle Register'!$C$5:$C$500, MATCH(42, 'Vehicle Register'!$X$5:$X$500, 0)), "")</f>
        <v/>
      </c>
      <c r="D46" s="18" t="str">
        <f aca="false">IFERROR(INDEX('Vehicle Register'!$D$5:$D$500, MATCH(42, 'Vehicle Register'!$X$5:$X$500, 0)), "")</f>
        <v/>
      </c>
      <c r="E46" s="18" t="str">
        <f aca="false">IFERROR(INDEX('Vehicle Register'!$E$5:$E$500, MATCH(42, 'Vehicle Register'!$X$5:$X$500, 0)), "")</f>
        <v/>
      </c>
      <c r="F46" s="18" t="str">
        <f aca="false">IFERROR(INDEX('Vehicle Register'!$F$5:$F$500, MATCH(42, 'Vehicle Register'!$X$5:$X$500, 0)), "")</f>
        <v/>
      </c>
      <c r="G46" s="18" t="str">
        <f aca="false">IFERROR(INDEX('Vehicle Register'!$G$5:$G$500, MATCH(42, 'Vehicle Register'!$X$5:$X$500, 0)), "")</f>
        <v/>
      </c>
      <c r="H46" s="18" t="str">
        <f aca="false">IFERROR(INDEX('Vehicle Register'!$H$5:$H$500, MATCH(42, 'Vehicle Register'!$X$5:$X$500, 0)), "")</f>
        <v/>
      </c>
      <c r="I46" s="18" t="str">
        <f aca="false">IFERROR(INDEX('Vehicle Register'!$I$5:$I$500, MATCH(42, 'Vehicle Register'!$X$5:$X$500, 0)), "")</f>
        <v/>
      </c>
      <c r="J46" s="18" t="str">
        <f aca="false">IFERROR(INDEX('Vehicle Register'!$J$5:$J$500, MATCH(42, 'Vehicle Register'!$X$5:$X$500, 0)), "")</f>
        <v/>
      </c>
      <c r="K46" s="19" t="str">
        <f aca="false">IFERROR(INDEX('Vehicle Register'!$K$5:$K$500, MATCH(42, 'Vehicle Register'!$X$5:$X$500, 0)), "")</f>
        <v/>
      </c>
      <c r="L46" s="20" t="str">
        <f aca="false">IFERROR(INDEX('Vehicle Register'!$L$5:$L$500, MATCH(42, 'Vehicle Register'!$X$5:$X$500, 0)), "")</f>
        <v/>
      </c>
      <c r="M46" s="20" t="str">
        <f aca="false">IFERROR(INDEX('Vehicle Register'!$M$5:$M$500, MATCH(42, 'Vehicle Register'!$X$5:$X$500, 0)), "")</f>
        <v/>
      </c>
      <c r="N46" s="20" t="str">
        <f aca="false">IFERROR(INDEX('Vehicle Register'!$N$5:$N$500, MATCH(42, 'Vehicle Register'!$X$5:$X$500, 0)), "")</f>
        <v/>
      </c>
      <c r="O46" s="18" t="str">
        <f aca="false">IFERROR(INDEX('Vehicle Register'!$O$5:$O$500, MATCH(42, 'Vehicle Register'!$X$5:$X$500, 0)), "")</f>
        <v/>
      </c>
      <c r="P46" s="18" t="str">
        <f aca="false">IFERROR(INDEX('Vehicle Register'!$P$5:$P$500, MATCH(42, 'Vehicle Register'!$X$5:$X$500, 0)), "")</f>
        <v/>
      </c>
      <c r="Q46" s="20" t="str">
        <f aca="false">IFERROR(INDEX('Vehicle Register'!$Q$5:$Q$500, MATCH(42, 'Vehicle Register'!$X$5:$X$500, 0)), "")</f>
        <v/>
      </c>
      <c r="R46" s="19" t="str">
        <f aca="false">IFERROR(INDEX('Vehicle Register'!$R$5:$R$500, MATCH(42, 'Vehicle Register'!$X$5:$X$500, 0)), "")</f>
        <v/>
      </c>
      <c r="S46" s="20" t="str">
        <f aca="false">IFERROR(INDEX('Vehicle Register'!$S$5:$S$500, MATCH(42, 'Vehicle Register'!$X$5:$X$500, 0)), "")</f>
        <v/>
      </c>
      <c r="T46" s="18" t="str">
        <f aca="false">IFERROR(INDEX('Vehicle Register'!$T$5:$T$500, MATCH(42, 'Vehicle Register'!$X$5:$X$500, 0)), "")</f>
        <v/>
      </c>
      <c r="U46" s="20" t="str">
        <f aca="false">IFERROR(INDEX('Vehicle Register'!$U$5:$U$500, MATCH(42, 'Vehicle Register'!$X$5:$X$500, 0)), "")</f>
        <v/>
      </c>
      <c r="V46" s="21" t="str">
        <f aca="false">IFERROR(INDEX('Vehicle Register'!$V$5:$V$500, MATCH(42, 'Vehicle Register'!$X$5:$X$500, 0)), "")</f>
        <v/>
      </c>
      <c r="W46" s="22" t="str">
        <f aca="false">IFERROR(INDEX('Vehicle Register'!$W$5:$W$500, MATCH(42, 'Vehicle Register'!$X$5:$X$500, 0)), "")</f>
        <v/>
      </c>
    </row>
    <row r="47" customFormat="false" ht="15" hidden="false" customHeight="false" outlineLevel="0" collapsed="false">
      <c r="A47" s="18" t="str">
        <f aca="false">IFERROR(INDEX('Vehicle Register'!$A$5:$A$500, MATCH(43, 'Vehicle Register'!$X$5:$X$500, 0)), "")</f>
        <v/>
      </c>
      <c r="B47" s="18" t="str">
        <f aca="false">IFERROR(INDEX('Vehicle Register'!$B$5:$B$500, MATCH(43, 'Vehicle Register'!$X$5:$X$500, 0)), "")</f>
        <v/>
      </c>
      <c r="C47" s="18" t="str">
        <f aca="false">IFERROR(INDEX('Vehicle Register'!$C$5:$C$500, MATCH(43, 'Vehicle Register'!$X$5:$X$500, 0)), "")</f>
        <v/>
      </c>
      <c r="D47" s="18" t="str">
        <f aca="false">IFERROR(INDEX('Vehicle Register'!$D$5:$D$500, MATCH(43, 'Vehicle Register'!$X$5:$X$500, 0)), "")</f>
        <v/>
      </c>
      <c r="E47" s="18" t="str">
        <f aca="false">IFERROR(INDEX('Vehicle Register'!$E$5:$E$500, MATCH(43, 'Vehicle Register'!$X$5:$X$500, 0)), "")</f>
        <v/>
      </c>
      <c r="F47" s="18" t="str">
        <f aca="false">IFERROR(INDEX('Vehicle Register'!$F$5:$F$500, MATCH(43, 'Vehicle Register'!$X$5:$X$500, 0)), "")</f>
        <v/>
      </c>
      <c r="G47" s="18" t="str">
        <f aca="false">IFERROR(INDEX('Vehicle Register'!$G$5:$G$500, MATCH(43, 'Vehicle Register'!$X$5:$X$500, 0)), "")</f>
        <v/>
      </c>
      <c r="H47" s="18" t="str">
        <f aca="false">IFERROR(INDEX('Vehicle Register'!$H$5:$H$500, MATCH(43, 'Vehicle Register'!$X$5:$X$500, 0)), "")</f>
        <v/>
      </c>
      <c r="I47" s="18" t="str">
        <f aca="false">IFERROR(INDEX('Vehicle Register'!$I$5:$I$500, MATCH(43, 'Vehicle Register'!$X$5:$X$500, 0)), "")</f>
        <v/>
      </c>
      <c r="J47" s="18" t="str">
        <f aca="false">IFERROR(INDEX('Vehicle Register'!$J$5:$J$500, MATCH(43, 'Vehicle Register'!$X$5:$X$500, 0)), "")</f>
        <v/>
      </c>
      <c r="K47" s="19" t="str">
        <f aca="false">IFERROR(INDEX('Vehicle Register'!$K$5:$K$500, MATCH(43, 'Vehicle Register'!$X$5:$X$500, 0)), "")</f>
        <v/>
      </c>
      <c r="L47" s="20" t="str">
        <f aca="false">IFERROR(INDEX('Vehicle Register'!$L$5:$L$500, MATCH(43, 'Vehicle Register'!$X$5:$X$500, 0)), "")</f>
        <v/>
      </c>
      <c r="M47" s="20" t="str">
        <f aca="false">IFERROR(INDEX('Vehicle Register'!$M$5:$M$500, MATCH(43, 'Vehicle Register'!$X$5:$X$500, 0)), "")</f>
        <v/>
      </c>
      <c r="N47" s="20" t="str">
        <f aca="false">IFERROR(INDEX('Vehicle Register'!$N$5:$N$500, MATCH(43, 'Vehicle Register'!$X$5:$X$500, 0)), "")</f>
        <v/>
      </c>
      <c r="O47" s="18" t="str">
        <f aca="false">IFERROR(INDEX('Vehicle Register'!$O$5:$O$500, MATCH(43, 'Vehicle Register'!$X$5:$X$500, 0)), "")</f>
        <v/>
      </c>
      <c r="P47" s="18" t="str">
        <f aca="false">IFERROR(INDEX('Vehicle Register'!$P$5:$P$500, MATCH(43, 'Vehicle Register'!$X$5:$X$500, 0)), "")</f>
        <v/>
      </c>
      <c r="Q47" s="20" t="str">
        <f aca="false">IFERROR(INDEX('Vehicle Register'!$Q$5:$Q$500, MATCH(43, 'Vehicle Register'!$X$5:$X$500, 0)), "")</f>
        <v/>
      </c>
      <c r="R47" s="19" t="str">
        <f aca="false">IFERROR(INDEX('Vehicle Register'!$R$5:$R$500, MATCH(43, 'Vehicle Register'!$X$5:$X$500, 0)), "")</f>
        <v/>
      </c>
      <c r="S47" s="20" t="str">
        <f aca="false">IFERROR(INDEX('Vehicle Register'!$S$5:$S$500, MATCH(43, 'Vehicle Register'!$X$5:$X$500, 0)), "")</f>
        <v/>
      </c>
      <c r="T47" s="18" t="str">
        <f aca="false">IFERROR(INDEX('Vehicle Register'!$T$5:$T$500, MATCH(43, 'Vehicle Register'!$X$5:$X$500, 0)), "")</f>
        <v/>
      </c>
      <c r="U47" s="20" t="str">
        <f aca="false">IFERROR(INDEX('Vehicle Register'!$U$5:$U$500, MATCH(43, 'Vehicle Register'!$X$5:$X$500, 0)), "")</f>
        <v/>
      </c>
      <c r="V47" s="21" t="str">
        <f aca="false">IFERROR(INDEX('Vehicle Register'!$V$5:$V$500, MATCH(43, 'Vehicle Register'!$X$5:$X$500, 0)), "")</f>
        <v/>
      </c>
      <c r="W47" s="22" t="str">
        <f aca="false">IFERROR(INDEX('Vehicle Register'!$W$5:$W$500, MATCH(43, 'Vehicle Register'!$X$5:$X$500, 0)), "")</f>
        <v/>
      </c>
    </row>
    <row r="48" customFormat="false" ht="15" hidden="false" customHeight="false" outlineLevel="0" collapsed="false">
      <c r="A48" s="18" t="str">
        <f aca="false">IFERROR(INDEX('Vehicle Register'!$A$5:$A$500, MATCH(44, 'Vehicle Register'!$X$5:$X$500, 0)), "")</f>
        <v/>
      </c>
      <c r="B48" s="18" t="str">
        <f aca="false">IFERROR(INDEX('Vehicle Register'!$B$5:$B$500, MATCH(44, 'Vehicle Register'!$X$5:$X$500, 0)), "")</f>
        <v/>
      </c>
      <c r="C48" s="18" t="str">
        <f aca="false">IFERROR(INDEX('Vehicle Register'!$C$5:$C$500, MATCH(44, 'Vehicle Register'!$X$5:$X$500, 0)), "")</f>
        <v/>
      </c>
      <c r="D48" s="18" t="str">
        <f aca="false">IFERROR(INDEX('Vehicle Register'!$D$5:$D$500, MATCH(44, 'Vehicle Register'!$X$5:$X$500, 0)), "")</f>
        <v/>
      </c>
      <c r="E48" s="18" t="str">
        <f aca="false">IFERROR(INDEX('Vehicle Register'!$E$5:$E$500, MATCH(44, 'Vehicle Register'!$X$5:$X$500, 0)), "")</f>
        <v/>
      </c>
      <c r="F48" s="18" t="str">
        <f aca="false">IFERROR(INDEX('Vehicle Register'!$F$5:$F$500, MATCH(44, 'Vehicle Register'!$X$5:$X$500, 0)), "")</f>
        <v/>
      </c>
      <c r="G48" s="18" t="str">
        <f aca="false">IFERROR(INDEX('Vehicle Register'!$G$5:$G$500, MATCH(44, 'Vehicle Register'!$X$5:$X$500, 0)), "")</f>
        <v/>
      </c>
      <c r="H48" s="18" t="str">
        <f aca="false">IFERROR(INDEX('Vehicle Register'!$H$5:$H$500, MATCH(44, 'Vehicle Register'!$X$5:$X$500, 0)), "")</f>
        <v/>
      </c>
      <c r="I48" s="18" t="str">
        <f aca="false">IFERROR(INDEX('Vehicle Register'!$I$5:$I$500, MATCH(44, 'Vehicle Register'!$X$5:$X$500, 0)), "")</f>
        <v/>
      </c>
      <c r="J48" s="18" t="str">
        <f aca="false">IFERROR(INDEX('Vehicle Register'!$J$5:$J$500, MATCH(44, 'Vehicle Register'!$X$5:$X$500, 0)), "")</f>
        <v/>
      </c>
      <c r="K48" s="19" t="str">
        <f aca="false">IFERROR(INDEX('Vehicle Register'!$K$5:$K$500, MATCH(44, 'Vehicle Register'!$X$5:$X$500, 0)), "")</f>
        <v/>
      </c>
      <c r="L48" s="20" t="str">
        <f aca="false">IFERROR(INDEX('Vehicle Register'!$L$5:$L$500, MATCH(44, 'Vehicle Register'!$X$5:$X$500, 0)), "")</f>
        <v/>
      </c>
      <c r="M48" s="20" t="str">
        <f aca="false">IFERROR(INDEX('Vehicle Register'!$M$5:$M$500, MATCH(44, 'Vehicle Register'!$X$5:$X$500, 0)), "")</f>
        <v/>
      </c>
      <c r="N48" s="20" t="str">
        <f aca="false">IFERROR(INDEX('Vehicle Register'!$N$5:$N$500, MATCH(44, 'Vehicle Register'!$X$5:$X$500, 0)), "")</f>
        <v/>
      </c>
      <c r="O48" s="18" t="str">
        <f aca="false">IFERROR(INDEX('Vehicle Register'!$O$5:$O$500, MATCH(44, 'Vehicle Register'!$X$5:$X$500, 0)), "")</f>
        <v/>
      </c>
      <c r="P48" s="18" t="str">
        <f aca="false">IFERROR(INDEX('Vehicle Register'!$P$5:$P$500, MATCH(44, 'Vehicle Register'!$X$5:$X$500, 0)), "")</f>
        <v/>
      </c>
      <c r="Q48" s="20" t="str">
        <f aca="false">IFERROR(INDEX('Vehicle Register'!$Q$5:$Q$500, MATCH(44, 'Vehicle Register'!$X$5:$X$500, 0)), "")</f>
        <v/>
      </c>
      <c r="R48" s="19" t="str">
        <f aca="false">IFERROR(INDEX('Vehicle Register'!$R$5:$R$500, MATCH(44, 'Vehicle Register'!$X$5:$X$500, 0)), "")</f>
        <v/>
      </c>
      <c r="S48" s="20" t="str">
        <f aca="false">IFERROR(INDEX('Vehicle Register'!$S$5:$S$500, MATCH(44, 'Vehicle Register'!$X$5:$X$500, 0)), "")</f>
        <v/>
      </c>
      <c r="T48" s="18" t="str">
        <f aca="false">IFERROR(INDEX('Vehicle Register'!$T$5:$T$500, MATCH(44, 'Vehicle Register'!$X$5:$X$500, 0)), "")</f>
        <v/>
      </c>
      <c r="U48" s="20" t="str">
        <f aca="false">IFERROR(INDEX('Vehicle Register'!$U$5:$U$500, MATCH(44, 'Vehicle Register'!$X$5:$X$500, 0)), "")</f>
        <v/>
      </c>
      <c r="V48" s="21" t="str">
        <f aca="false">IFERROR(INDEX('Vehicle Register'!$V$5:$V$500, MATCH(44, 'Vehicle Register'!$X$5:$X$500, 0)), "")</f>
        <v/>
      </c>
      <c r="W48" s="22" t="str">
        <f aca="false">IFERROR(INDEX('Vehicle Register'!$W$5:$W$500, MATCH(44, 'Vehicle Register'!$X$5:$X$500, 0)), "")</f>
        <v/>
      </c>
    </row>
    <row r="49" customFormat="false" ht="15" hidden="false" customHeight="false" outlineLevel="0" collapsed="false">
      <c r="A49" s="18" t="str">
        <f aca="false">IFERROR(INDEX('Vehicle Register'!$A$5:$A$500, MATCH(45, 'Vehicle Register'!$X$5:$X$500, 0)), "")</f>
        <v/>
      </c>
      <c r="B49" s="18" t="str">
        <f aca="false">IFERROR(INDEX('Vehicle Register'!$B$5:$B$500, MATCH(45, 'Vehicle Register'!$X$5:$X$500, 0)), "")</f>
        <v/>
      </c>
      <c r="C49" s="18" t="str">
        <f aca="false">IFERROR(INDEX('Vehicle Register'!$C$5:$C$500, MATCH(45, 'Vehicle Register'!$X$5:$X$500, 0)), "")</f>
        <v/>
      </c>
      <c r="D49" s="18" t="str">
        <f aca="false">IFERROR(INDEX('Vehicle Register'!$D$5:$D$500, MATCH(45, 'Vehicle Register'!$X$5:$X$500, 0)), "")</f>
        <v/>
      </c>
      <c r="E49" s="18" t="str">
        <f aca="false">IFERROR(INDEX('Vehicle Register'!$E$5:$E$500, MATCH(45, 'Vehicle Register'!$X$5:$X$500, 0)), "")</f>
        <v/>
      </c>
      <c r="F49" s="18" t="str">
        <f aca="false">IFERROR(INDEX('Vehicle Register'!$F$5:$F$500, MATCH(45, 'Vehicle Register'!$X$5:$X$500, 0)), "")</f>
        <v/>
      </c>
      <c r="G49" s="18" t="str">
        <f aca="false">IFERROR(INDEX('Vehicle Register'!$G$5:$G$500, MATCH(45, 'Vehicle Register'!$X$5:$X$500, 0)), "")</f>
        <v/>
      </c>
      <c r="H49" s="18" t="str">
        <f aca="false">IFERROR(INDEX('Vehicle Register'!$H$5:$H$500, MATCH(45, 'Vehicle Register'!$X$5:$X$500, 0)), "")</f>
        <v/>
      </c>
      <c r="I49" s="18" t="str">
        <f aca="false">IFERROR(INDEX('Vehicle Register'!$I$5:$I$500, MATCH(45, 'Vehicle Register'!$X$5:$X$500, 0)), "")</f>
        <v/>
      </c>
      <c r="J49" s="18" t="str">
        <f aca="false">IFERROR(INDEX('Vehicle Register'!$J$5:$J$500, MATCH(45, 'Vehicle Register'!$X$5:$X$500, 0)), "")</f>
        <v/>
      </c>
      <c r="K49" s="19" t="str">
        <f aca="false">IFERROR(INDEX('Vehicle Register'!$K$5:$K$500, MATCH(45, 'Vehicle Register'!$X$5:$X$500, 0)), "")</f>
        <v/>
      </c>
      <c r="L49" s="20" t="str">
        <f aca="false">IFERROR(INDEX('Vehicle Register'!$L$5:$L$500, MATCH(45, 'Vehicle Register'!$X$5:$X$500, 0)), "")</f>
        <v/>
      </c>
      <c r="M49" s="20" t="str">
        <f aca="false">IFERROR(INDEX('Vehicle Register'!$M$5:$M$500, MATCH(45, 'Vehicle Register'!$X$5:$X$500, 0)), "")</f>
        <v/>
      </c>
      <c r="N49" s="20" t="str">
        <f aca="false">IFERROR(INDEX('Vehicle Register'!$N$5:$N$500, MATCH(45, 'Vehicle Register'!$X$5:$X$500, 0)), "")</f>
        <v/>
      </c>
      <c r="O49" s="18" t="str">
        <f aca="false">IFERROR(INDEX('Vehicle Register'!$O$5:$O$500, MATCH(45, 'Vehicle Register'!$X$5:$X$500, 0)), "")</f>
        <v/>
      </c>
      <c r="P49" s="18" t="str">
        <f aca="false">IFERROR(INDEX('Vehicle Register'!$P$5:$P$500, MATCH(45, 'Vehicle Register'!$X$5:$X$500, 0)), "")</f>
        <v/>
      </c>
      <c r="Q49" s="20" t="str">
        <f aca="false">IFERROR(INDEX('Vehicle Register'!$Q$5:$Q$500, MATCH(45, 'Vehicle Register'!$X$5:$X$500, 0)), "")</f>
        <v/>
      </c>
      <c r="R49" s="19" t="str">
        <f aca="false">IFERROR(INDEX('Vehicle Register'!$R$5:$R$500, MATCH(45, 'Vehicle Register'!$X$5:$X$500, 0)), "")</f>
        <v/>
      </c>
      <c r="S49" s="20" t="str">
        <f aca="false">IFERROR(INDEX('Vehicle Register'!$S$5:$S$500, MATCH(45, 'Vehicle Register'!$X$5:$X$500, 0)), "")</f>
        <v/>
      </c>
      <c r="T49" s="18" t="str">
        <f aca="false">IFERROR(INDEX('Vehicle Register'!$T$5:$T$500, MATCH(45, 'Vehicle Register'!$X$5:$X$500, 0)), "")</f>
        <v/>
      </c>
      <c r="U49" s="20" t="str">
        <f aca="false">IFERROR(INDEX('Vehicle Register'!$U$5:$U$500, MATCH(45, 'Vehicle Register'!$X$5:$X$500, 0)), "")</f>
        <v/>
      </c>
      <c r="V49" s="21" t="str">
        <f aca="false">IFERROR(INDEX('Vehicle Register'!$V$5:$V$500, MATCH(45, 'Vehicle Register'!$X$5:$X$500, 0)), "")</f>
        <v/>
      </c>
      <c r="W49" s="22" t="str">
        <f aca="false">IFERROR(INDEX('Vehicle Register'!$W$5:$W$500, MATCH(45, 'Vehicle Register'!$X$5:$X$500, 0)), "")</f>
        <v/>
      </c>
    </row>
    <row r="50" customFormat="false" ht="15" hidden="false" customHeight="false" outlineLevel="0" collapsed="false">
      <c r="A50" s="18" t="str">
        <f aca="false">IFERROR(INDEX('Vehicle Register'!$A$5:$A$500, MATCH(46, 'Vehicle Register'!$X$5:$X$500, 0)), "")</f>
        <v/>
      </c>
      <c r="B50" s="18" t="str">
        <f aca="false">IFERROR(INDEX('Vehicle Register'!$B$5:$B$500, MATCH(46, 'Vehicle Register'!$X$5:$X$500, 0)), "")</f>
        <v/>
      </c>
      <c r="C50" s="18" t="str">
        <f aca="false">IFERROR(INDEX('Vehicle Register'!$C$5:$C$500, MATCH(46, 'Vehicle Register'!$X$5:$X$500, 0)), "")</f>
        <v/>
      </c>
      <c r="D50" s="18" t="str">
        <f aca="false">IFERROR(INDEX('Vehicle Register'!$D$5:$D$500, MATCH(46, 'Vehicle Register'!$X$5:$X$500, 0)), "")</f>
        <v/>
      </c>
      <c r="E50" s="18" t="str">
        <f aca="false">IFERROR(INDEX('Vehicle Register'!$E$5:$E$500, MATCH(46, 'Vehicle Register'!$X$5:$X$500, 0)), "")</f>
        <v/>
      </c>
      <c r="F50" s="18" t="str">
        <f aca="false">IFERROR(INDEX('Vehicle Register'!$F$5:$F$500, MATCH(46, 'Vehicle Register'!$X$5:$X$500, 0)), "")</f>
        <v/>
      </c>
      <c r="G50" s="18" t="str">
        <f aca="false">IFERROR(INDEX('Vehicle Register'!$G$5:$G$500, MATCH(46, 'Vehicle Register'!$X$5:$X$500, 0)), "")</f>
        <v/>
      </c>
      <c r="H50" s="18" t="str">
        <f aca="false">IFERROR(INDEX('Vehicle Register'!$H$5:$H$500, MATCH(46, 'Vehicle Register'!$X$5:$X$500, 0)), "")</f>
        <v/>
      </c>
      <c r="I50" s="18" t="str">
        <f aca="false">IFERROR(INDEX('Vehicle Register'!$I$5:$I$500, MATCH(46, 'Vehicle Register'!$X$5:$X$500, 0)), "")</f>
        <v/>
      </c>
      <c r="J50" s="18" t="str">
        <f aca="false">IFERROR(INDEX('Vehicle Register'!$J$5:$J$500, MATCH(46, 'Vehicle Register'!$X$5:$X$500, 0)), "")</f>
        <v/>
      </c>
      <c r="K50" s="19" t="str">
        <f aca="false">IFERROR(INDEX('Vehicle Register'!$K$5:$K$500, MATCH(46, 'Vehicle Register'!$X$5:$X$500, 0)), "")</f>
        <v/>
      </c>
      <c r="L50" s="20" t="str">
        <f aca="false">IFERROR(INDEX('Vehicle Register'!$L$5:$L$500, MATCH(46, 'Vehicle Register'!$X$5:$X$500, 0)), "")</f>
        <v/>
      </c>
      <c r="M50" s="20" t="str">
        <f aca="false">IFERROR(INDEX('Vehicle Register'!$M$5:$M$500, MATCH(46, 'Vehicle Register'!$X$5:$X$500, 0)), "")</f>
        <v/>
      </c>
      <c r="N50" s="20" t="str">
        <f aca="false">IFERROR(INDEX('Vehicle Register'!$N$5:$N$500, MATCH(46, 'Vehicle Register'!$X$5:$X$500, 0)), "")</f>
        <v/>
      </c>
      <c r="O50" s="18" t="str">
        <f aca="false">IFERROR(INDEX('Vehicle Register'!$O$5:$O$500, MATCH(46, 'Vehicle Register'!$X$5:$X$500, 0)), "")</f>
        <v/>
      </c>
      <c r="P50" s="18" t="str">
        <f aca="false">IFERROR(INDEX('Vehicle Register'!$P$5:$P$500, MATCH(46, 'Vehicle Register'!$X$5:$X$500, 0)), "")</f>
        <v/>
      </c>
      <c r="Q50" s="20" t="str">
        <f aca="false">IFERROR(INDEX('Vehicle Register'!$Q$5:$Q$500, MATCH(46, 'Vehicle Register'!$X$5:$X$500, 0)), "")</f>
        <v/>
      </c>
      <c r="R50" s="19" t="str">
        <f aca="false">IFERROR(INDEX('Vehicle Register'!$R$5:$R$500, MATCH(46, 'Vehicle Register'!$X$5:$X$500, 0)), "")</f>
        <v/>
      </c>
      <c r="S50" s="20" t="str">
        <f aca="false">IFERROR(INDEX('Vehicle Register'!$S$5:$S$500, MATCH(46, 'Vehicle Register'!$X$5:$X$500, 0)), "")</f>
        <v/>
      </c>
      <c r="T50" s="18" t="str">
        <f aca="false">IFERROR(INDEX('Vehicle Register'!$T$5:$T$500, MATCH(46, 'Vehicle Register'!$X$5:$X$500, 0)), "")</f>
        <v/>
      </c>
      <c r="U50" s="20" t="str">
        <f aca="false">IFERROR(INDEX('Vehicle Register'!$U$5:$U$500, MATCH(46, 'Vehicle Register'!$X$5:$X$500, 0)), "")</f>
        <v/>
      </c>
      <c r="V50" s="21" t="str">
        <f aca="false">IFERROR(INDEX('Vehicle Register'!$V$5:$V$500, MATCH(46, 'Vehicle Register'!$X$5:$X$500, 0)), "")</f>
        <v/>
      </c>
      <c r="W50" s="22" t="str">
        <f aca="false">IFERROR(INDEX('Vehicle Register'!$W$5:$W$500, MATCH(46, 'Vehicle Register'!$X$5:$X$500, 0)), "")</f>
        <v/>
      </c>
    </row>
    <row r="51" customFormat="false" ht="15" hidden="false" customHeight="false" outlineLevel="0" collapsed="false">
      <c r="A51" s="18" t="str">
        <f aca="false">IFERROR(INDEX('Vehicle Register'!$A$5:$A$500, MATCH(47, 'Vehicle Register'!$X$5:$X$500, 0)), "")</f>
        <v/>
      </c>
      <c r="B51" s="18" t="str">
        <f aca="false">IFERROR(INDEX('Vehicle Register'!$B$5:$B$500, MATCH(47, 'Vehicle Register'!$X$5:$X$500, 0)), "")</f>
        <v/>
      </c>
      <c r="C51" s="18" t="str">
        <f aca="false">IFERROR(INDEX('Vehicle Register'!$C$5:$C$500, MATCH(47, 'Vehicle Register'!$X$5:$X$500, 0)), "")</f>
        <v/>
      </c>
      <c r="D51" s="18" t="str">
        <f aca="false">IFERROR(INDEX('Vehicle Register'!$D$5:$D$500, MATCH(47, 'Vehicle Register'!$X$5:$X$500, 0)), "")</f>
        <v/>
      </c>
      <c r="E51" s="18" t="str">
        <f aca="false">IFERROR(INDEX('Vehicle Register'!$E$5:$E$500, MATCH(47, 'Vehicle Register'!$X$5:$X$500, 0)), "")</f>
        <v/>
      </c>
      <c r="F51" s="18" t="str">
        <f aca="false">IFERROR(INDEX('Vehicle Register'!$F$5:$F$500, MATCH(47, 'Vehicle Register'!$X$5:$X$500, 0)), "")</f>
        <v/>
      </c>
      <c r="G51" s="18" t="str">
        <f aca="false">IFERROR(INDEX('Vehicle Register'!$G$5:$G$500, MATCH(47, 'Vehicle Register'!$X$5:$X$500, 0)), "")</f>
        <v/>
      </c>
      <c r="H51" s="18" t="str">
        <f aca="false">IFERROR(INDEX('Vehicle Register'!$H$5:$H$500, MATCH(47, 'Vehicle Register'!$X$5:$X$500, 0)), "")</f>
        <v/>
      </c>
      <c r="I51" s="18" t="str">
        <f aca="false">IFERROR(INDEX('Vehicle Register'!$I$5:$I$500, MATCH(47, 'Vehicle Register'!$X$5:$X$500, 0)), "")</f>
        <v/>
      </c>
      <c r="J51" s="18" t="str">
        <f aca="false">IFERROR(INDEX('Vehicle Register'!$J$5:$J$500, MATCH(47, 'Vehicle Register'!$X$5:$X$500, 0)), "")</f>
        <v/>
      </c>
      <c r="K51" s="19" t="str">
        <f aca="false">IFERROR(INDEX('Vehicle Register'!$K$5:$K$500, MATCH(47, 'Vehicle Register'!$X$5:$X$500, 0)), "")</f>
        <v/>
      </c>
      <c r="L51" s="20" t="str">
        <f aca="false">IFERROR(INDEX('Vehicle Register'!$L$5:$L$500, MATCH(47, 'Vehicle Register'!$X$5:$X$500, 0)), "")</f>
        <v/>
      </c>
      <c r="M51" s="20" t="str">
        <f aca="false">IFERROR(INDEX('Vehicle Register'!$M$5:$M$500, MATCH(47, 'Vehicle Register'!$X$5:$X$500, 0)), "")</f>
        <v/>
      </c>
      <c r="N51" s="20" t="str">
        <f aca="false">IFERROR(INDEX('Vehicle Register'!$N$5:$N$500, MATCH(47, 'Vehicle Register'!$X$5:$X$500, 0)), "")</f>
        <v/>
      </c>
      <c r="O51" s="18" t="str">
        <f aca="false">IFERROR(INDEX('Vehicle Register'!$O$5:$O$500, MATCH(47, 'Vehicle Register'!$X$5:$X$500, 0)), "")</f>
        <v/>
      </c>
      <c r="P51" s="18" t="str">
        <f aca="false">IFERROR(INDEX('Vehicle Register'!$P$5:$P$500, MATCH(47, 'Vehicle Register'!$X$5:$X$500, 0)), "")</f>
        <v/>
      </c>
      <c r="Q51" s="20" t="str">
        <f aca="false">IFERROR(INDEX('Vehicle Register'!$Q$5:$Q$500, MATCH(47, 'Vehicle Register'!$X$5:$X$500, 0)), "")</f>
        <v/>
      </c>
      <c r="R51" s="19" t="str">
        <f aca="false">IFERROR(INDEX('Vehicle Register'!$R$5:$R$500, MATCH(47, 'Vehicle Register'!$X$5:$X$500, 0)), "")</f>
        <v/>
      </c>
      <c r="S51" s="20" t="str">
        <f aca="false">IFERROR(INDEX('Vehicle Register'!$S$5:$S$500, MATCH(47, 'Vehicle Register'!$X$5:$X$500, 0)), "")</f>
        <v/>
      </c>
      <c r="T51" s="18" t="str">
        <f aca="false">IFERROR(INDEX('Vehicle Register'!$T$5:$T$500, MATCH(47, 'Vehicle Register'!$X$5:$X$500, 0)), "")</f>
        <v/>
      </c>
      <c r="U51" s="20" t="str">
        <f aca="false">IFERROR(INDEX('Vehicle Register'!$U$5:$U$500, MATCH(47, 'Vehicle Register'!$X$5:$X$500, 0)), "")</f>
        <v/>
      </c>
      <c r="V51" s="21" t="str">
        <f aca="false">IFERROR(INDEX('Vehicle Register'!$V$5:$V$500, MATCH(47, 'Vehicle Register'!$X$5:$X$500, 0)), "")</f>
        <v/>
      </c>
      <c r="W51" s="22" t="str">
        <f aca="false">IFERROR(INDEX('Vehicle Register'!$W$5:$W$500, MATCH(47, 'Vehicle Register'!$X$5:$X$500, 0)), "")</f>
        <v/>
      </c>
    </row>
    <row r="52" customFormat="false" ht="15" hidden="false" customHeight="false" outlineLevel="0" collapsed="false">
      <c r="A52" s="18" t="str">
        <f aca="false">IFERROR(INDEX('Vehicle Register'!$A$5:$A$500, MATCH(48, 'Vehicle Register'!$X$5:$X$500, 0)), "")</f>
        <v/>
      </c>
      <c r="B52" s="18" t="str">
        <f aca="false">IFERROR(INDEX('Vehicle Register'!$B$5:$B$500, MATCH(48, 'Vehicle Register'!$X$5:$X$500, 0)), "")</f>
        <v/>
      </c>
      <c r="C52" s="18" t="str">
        <f aca="false">IFERROR(INDEX('Vehicle Register'!$C$5:$C$500, MATCH(48, 'Vehicle Register'!$X$5:$X$500, 0)), "")</f>
        <v/>
      </c>
      <c r="D52" s="18" t="str">
        <f aca="false">IFERROR(INDEX('Vehicle Register'!$D$5:$D$500, MATCH(48, 'Vehicle Register'!$X$5:$X$500, 0)), "")</f>
        <v/>
      </c>
      <c r="E52" s="18" t="str">
        <f aca="false">IFERROR(INDEX('Vehicle Register'!$E$5:$E$500, MATCH(48, 'Vehicle Register'!$X$5:$X$500, 0)), "")</f>
        <v/>
      </c>
      <c r="F52" s="18" t="str">
        <f aca="false">IFERROR(INDEX('Vehicle Register'!$F$5:$F$500, MATCH(48, 'Vehicle Register'!$X$5:$X$500, 0)), "")</f>
        <v/>
      </c>
      <c r="G52" s="18" t="str">
        <f aca="false">IFERROR(INDEX('Vehicle Register'!$G$5:$G$500, MATCH(48, 'Vehicle Register'!$X$5:$X$500, 0)), "")</f>
        <v/>
      </c>
      <c r="H52" s="18" t="str">
        <f aca="false">IFERROR(INDEX('Vehicle Register'!$H$5:$H$500, MATCH(48, 'Vehicle Register'!$X$5:$X$500, 0)), "")</f>
        <v/>
      </c>
      <c r="I52" s="18" t="str">
        <f aca="false">IFERROR(INDEX('Vehicle Register'!$I$5:$I$500, MATCH(48, 'Vehicle Register'!$X$5:$X$500, 0)), "")</f>
        <v/>
      </c>
      <c r="J52" s="18" t="str">
        <f aca="false">IFERROR(INDEX('Vehicle Register'!$J$5:$J$500, MATCH(48, 'Vehicle Register'!$X$5:$X$500, 0)), "")</f>
        <v/>
      </c>
      <c r="K52" s="19" t="str">
        <f aca="false">IFERROR(INDEX('Vehicle Register'!$K$5:$K$500, MATCH(48, 'Vehicle Register'!$X$5:$X$500, 0)), "")</f>
        <v/>
      </c>
      <c r="L52" s="20" t="str">
        <f aca="false">IFERROR(INDEX('Vehicle Register'!$L$5:$L$500, MATCH(48, 'Vehicle Register'!$X$5:$X$500, 0)), "")</f>
        <v/>
      </c>
      <c r="M52" s="20" t="str">
        <f aca="false">IFERROR(INDEX('Vehicle Register'!$M$5:$M$500, MATCH(48, 'Vehicle Register'!$X$5:$X$500, 0)), "")</f>
        <v/>
      </c>
      <c r="N52" s="20" t="str">
        <f aca="false">IFERROR(INDEX('Vehicle Register'!$N$5:$N$500, MATCH(48, 'Vehicle Register'!$X$5:$X$500, 0)), "")</f>
        <v/>
      </c>
      <c r="O52" s="18" t="str">
        <f aca="false">IFERROR(INDEX('Vehicle Register'!$O$5:$O$500, MATCH(48, 'Vehicle Register'!$X$5:$X$500, 0)), "")</f>
        <v/>
      </c>
      <c r="P52" s="18" t="str">
        <f aca="false">IFERROR(INDEX('Vehicle Register'!$P$5:$P$500, MATCH(48, 'Vehicle Register'!$X$5:$X$500, 0)), "")</f>
        <v/>
      </c>
      <c r="Q52" s="20" t="str">
        <f aca="false">IFERROR(INDEX('Vehicle Register'!$Q$5:$Q$500, MATCH(48, 'Vehicle Register'!$X$5:$X$500, 0)), "")</f>
        <v/>
      </c>
      <c r="R52" s="19" t="str">
        <f aca="false">IFERROR(INDEX('Vehicle Register'!$R$5:$R$500, MATCH(48, 'Vehicle Register'!$X$5:$X$500, 0)), "")</f>
        <v/>
      </c>
      <c r="S52" s="20" t="str">
        <f aca="false">IFERROR(INDEX('Vehicle Register'!$S$5:$S$500, MATCH(48, 'Vehicle Register'!$X$5:$X$500, 0)), "")</f>
        <v/>
      </c>
      <c r="T52" s="18" t="str">
        <f aca="false">IFERROR(INDEX('Vehicle Register'!$T$5:$T$500, MATCH(48, 'Vehicle Register'!$X$5:$X$500, 0)), "")</f>
        <v/>
      </c>
      <c r="U52" s="20" t="str">
        <f aca="false">IFERROR(INDEX('Vehicle Register'!$U$5:$U$500, MATCH(48, 'Vehicle Register'!$X$5:$X$500, 0)), "")</f>
        <v/>
      </c>
      <c r="V52" s="21" t="str">
        <f aca="false">IFERROR(INDEX('Vehicle Register'!$V$5:$V$500, MATCH(48, 'Vehicle Register'!$X$5:$X$500, 0)), "")</f>
        <v/>
      </c>
      <c r="W52" s="22" t="str">
        <f aca="false">IFERROR(INDEX('Vehicle Register'!$W$5:$W$500, MATCH(48, 'Vehicle Register'!$X$5:$X$500, 0)), "")</f>
        <v/>
      </c>
    </row>
    <row r="53" customFormat="false" ht="15" hidden="false" customHeight="false" outlineLevel="0" collapsed="false">
      <c r="A53" s="18" t="str">
        <f aca="false">IFERROR(INDEX('Vehicle Register'!$A$5:$A$500, MATCH(49, 'Vehicle Register'!$X$5:$X$500, 0)), "")</f>
        <v/>
      </c>
      <c r="B53" s="18" t="str">
        <f aca="false">IFERROR(INDEX('Vehicle Register'!$B$5:$B$500, MATCH(49, 'Vehicle Register'!$X$5:$X$500, 0)), "")</f>
        <v/>
      </c>
      <c r="C53" s="18" t="str">
        <f aca="false">IFERROR(INDEX('Vehicle Register'!$C$5:$C$500, MATCH(49, 'Vehicle Register'!$X$5:$X$500, 0)), "")</f>
        <v/>
      </c>
      <c r="D53" s="18" t="str">
        <f aca="false">IFERROR(INDEX('Vehicle Register'!$D$5:$D$500, MATCH(49, 'Vehicle Register'!$X$5:$X$500, 0)), "")</f>
        <v/>
      </c>
      <c r="E53" s="18" t="str">
        <f aca="false">IFERROR(INDEX('Vehicle Register'!$E$5:$E$500, MATCH(49, 'Vehicle Register'!$X$5:$X$500, 0)), "")</f>
        <v/>
      </c>
      <c r="F53" s="18" t="str">
        <f aca="false">IFERROR(INDEX('Vehicle Register'!$F$5:$F$500, MATCH(49, 'Vehicle Register'!$X$5:$X$500, 0)), "")</f>
        <v/>
      </c>
      <c r="G53" s="18" t="str">
        <f aca="false">IFERROR(INDEX('Vehicle Register'!$G$5:$G$500, MATCH(49, 'Vehicle Register'!$X$5:$X$500, 0)), "")</f>
        <v/>
      </c>
      <c r="H53" s="18" t="str">
        <f aca="false">IFERROR(INDEX('Vehicle Register'!$H$5:$H$500, MATCH(49, 'Vehicle Register'!$X$5:$X$500, 0)), "")</f>
        <v/>
      </c>
      <c r="I53" s="18" t="str">
        <f aca="false">IFERROR(INDEX('Vehicle Register'!$I$5:$I$500, MATCH(49, 'Vehicle Register'!$X$5:$X$500, 0)), "")</f>
        <v/>
      </c>
      <c r="J53" s="18" t="str">
        <f aca="false">IFERROR(INDEX('Vehicle Register'!$J$5:$J$500, MATCH(49, 'Vehicle Register'!$X$5:$X$500, 0)), "")</f>
        <v/>
      </c>
      <c r="K53" s="19" t="str">
        <f aca="false">IFERROR(INDEX('Vehicle Register'!$K$5:$K$500, MATCH(49, 'Vehicle Register'!$X$5:$X$500, 0)), "")</f>
        <v/>
      </c>
      <c r="L53" s="20" t="str">
        <f aca="false">IFERROR(INDEX('Vehicle Register'!$L$5:$L$500, MATCH(49, 'Vehicle Register'!$X$5:$X$500, 0)), "")</f>
        <v/>
      </c>
      <c r="M53" s="20" t="str">
        <f aca="false">IFERROR(INDEX('Vehicle Register'!$M$5:$M$500, MATCH(49, 'Vehicle Register'!$X$5:$X$500, 0)), "")</f>
        <v/>
      </c>
      <c r="N53" s="20" t="str">
        <f aca="false">IFERROR(INDEX('Vehicle Register'!$N$5:$N$500, MATCH(49, 'Vehicle Register'!$X$5:$X$500, 0)), "")</f>
        <v/>
      </c>
      <c r="O53" s="18" t="str">
        <f aca="false">IFERROR(INDEX('Vehicle Register'!$O$5:$O$500, MATCH(49, 'Vehicle Register'!$X$5:$X$500, 0)), "")</f>
        <v/>
      </c>
      <c r="P53" s="18" t="str">
        <f aca="false">IFERROR(INDEX('Vehicle Register'!$P$5:$P$500, MATCH(49, 'Vehicle Register'!$X$5:$X$500, 0)), "")</f>
        <v/>
      </c>
      <c r="Q53" s="20" t="str">
        <f aca="false">IFERROR(INDEX('Vehicle Register'!$Q$5:$Q$500, MATCH(49, 'Vehicle Register'!$X$5:$X$500, 0)), "")</f>
        <v/>
      </c>
      <c r="R53" s="19" t="str">
        <f aca="false">IFERROR(INDEX('Vehicle Register'!$R$5:$R$500, MATCH(49, 'Vehicle Register'!$X$5:$X$500, 0)), "")</f>
        <v/>
      </c>
      <c r="S53" s="20" t="str">
        <f aca="false">IFERROR(INDEX('Vehicle Register'!$S$5:$S$500, MATCH(49, 'Vehicle Register'!$X$5:$X$500, 0)), "")</f>
        <v/>
      </c>
      <c r="T53" s="18" t="str">
        <f aca="false">IFERROR(INDEX('Vehicle Register'!$T$5:$T$500, MATCH(49, 'Vehicle Register'!$X$5:$X$500, 0)), "")</f>
        <v/>
      </c>
      <c r="U53" s="20" t="str">
        <f aca="false">IFERROR(INDEX('Vehicle Register'!$U$5:$U$500, MATCH(49, 'Vehicle Register'!$X$5:$X$500, 0)), "")</f>
        <v/>
      </c>
      <c r="V53" s="21" t="str">
        <f aca="false">IFERROR(INDEX('Vehicle Register'!$V$5:$V$500, MATCH(49, 'Vehicle Register'!$X$5:$X$500, 0)), "")</f>
        <v/>
      </c>
      <c r="W53" s="22" t="str">
        <f aca="false">IFERROR(INDEX('Vehicle Register'!$W$5:$W$500, MATCH(49, 'Vehicle Register'!$X$5:$X$500, 0)), "")</f>
        <v/>
      </c>
    </row>
    <row r="54" customFormat="false" ht="15" hidden="false" customHeight="false" outlineLevel="0" collapsed="false">
      <c r="A54" s="18" t="str">
        <f aca="false">IFERROR(INDEX('Vehicle Register'!$A$5:$A$500, MATCH(50, 'Vehicle Register'!$X$5:$X$500, 0)), "")</f>
        <v/>
      </c>
      <c r="B54" s="18" t="str">
        <f aca="false">IFERROR(INDEX('Vehicle Register'!$B$5:$B$500, MATCH(50, 'Vehicle Register'!$X$5:$X$500, 0)), "")</f>
        <v/>
      </c>
      <c r="C54" s="18" t="str">
        <f aca="false">IFERROR(INDEX('Vehicle Register'!$C$5:$C$500, MATCH(50, 'Vehicle Register'!$X$5:$X$500, 0)), "")</f>
        <v/>
      </c>
      <c r="D54" s="18" t="str">
        <f aca="false">IFERROR(INDEX('Vehicle Register'!$D$5:$D$500, MATCH(50, 'Vehicle Register'!$X$5:$X$500, 0)), "")</f>
        <v/>
      </c>
      <c r="E54" s="18" t="str">
        <f aca="false">IFERROR(INDEX('Vehicle Register'!$E$5:$E$500, MATCH(50, 'Vehicle Register'!$X$5:$X$500, 0)), "")</f>
        <v/>
      </c>
      <c r="F54" s="18" t="str">
        <f aca="false">IFERROR(INDEX('Vehicle Register'!$F$5:$F$500, MATCH(50, 'Vehicle Register'!$X$5:$X$500, 0)), "")</f>
        <v/>
      </c>
      <c r="G54" s="18" t="str">
        <f aca="false">IFERROR(INDEX('Vehicle Register'!$G$5:$G$500, MATCH(50, 'Vehicle Register'!$X$5:$X$500, 0)), "")</f>
        <v/>
      </c>
      <c r="H54" s="18" t="str">
        <f aca="false">IFERROR(INDEX('Vehicle Register'!$H$5:$H$500, MATCH(50, 'Vehicle Register'!$X$5:$X$500, 0)), "")</f>
        <v/>
      </c>
      <c r="I54" s="18" t="str">
        <f aca="false">IFERROR(INDEX('Vehicle Register'!$I$5:$I$500, MATCH(50, 'Vehicle Register'!$X$5:$X$500, 0)), "")</f>
        <v/>
      </c>
      <c r="J54" s="18" t="str">
        <f aca="false">IFERROR(INDEX('Vehicle Register'!$J$5:$J$500, MATCH(50, 'Vehicle Register'!$X$5:$X$500, 0)), "")</f>
        <v/>
      </c>
      <c r="K54" s="19" t="str">
        <f aca="false">IFERROR(INDEX('Vehicle Register'!$K$5:$K$500, MATCH(50, 'Vehicle Register'!$X$5:$X$500, 0)), "")</f>
        <v/>
      </c>
      <c r="L54" s="20" t="str">
        <f aca="false">IFERROR(INDEX('Vehicle Register'!$L$5:$L$500, MATCH(50, 'Vehicle Register'!$X$5:$X$500, 0)), "")</f>
        <v/>
      </c>
      <c r="M54" s="20" t="str">
        <f aca="false">IFERROR(INDEX('Vehicle Register'!$M$5:$M$500, MATCH(50, 'Vehicle Register'!$X$5:$X$500, 0)), "")</f>
        <v/>
      </c>
      <c r="N54" s="20" t="str">
        <f aca="false">IFERROR(INDEX('Vehicle Register'!$N$5:$N$500, MATCH(50, 'Vehicle Register'!$X$5:$X$500, 0)), "")</f>
        <v/>
      </c>
      <c r="O54" s="18" t="str">
        <f aca="false">IFERROR(INDEX('Vehicle Register'!$O$5:$O$500, MATCH(50, 'Vehicle Register'!$X$5:$X$500, 0)), "")</f>
        <v/>
      </c>
      <c r="P54" s="18" t="str">
        <f aca="false">IFERROR(INDEX('Vehicle Register'!$P$5:$P$500, MATCH(50, 'Vehicle Register'!$X$5:$X$500, 0)), "")</f>
        <v/>
      </c>
      <c r="Q54" s="20" t="str">
        <f aca="false">IFERROR(INDEX('Vehicle Register'!$Q$5:$Q$500, MATCH(50, 'Vehicle Register'!$X$5:$X$500, 0)), "")</f>
        <v/>
      </c>
      <c r="R54" s="19" t="str">
        <f aca="false">IFERROR(INDEX('Vehicle Register'!$R$5:$R$500, MATCH(50, 'Vehicle Register'!$X$5:$X$500, 0)), "")</f>
        <v/>
      </c>
      <c r="S54" s="20" t="str">
        <f aca="false">IFERROR(INDEX('Vehicle Register'!$S$5:$S$500, MATCH(50, 'Vehicle Register'!$X$5:$X$500, 0)), "")</f>
        <v/>
      </c>
      <c r="T54" s="18" t="str">
        <f aca="false">IFERROR(INDEX('Vehicle Register'!$T$5:$T$500, MATCH(50, 'Vehicle Register'!$X$5:$X$500, 0)), "")</f>
        <v/>
      </c>
      <c r="U54" s="20" t="str">
        <f aca="false">IFERROR(INDEX('Vehicle Register'!$U$5:$U$500, MATCH(50, 'Vehicle Register'!$X$5:$X$500, 0)), "")</f>
        <v/>
      </c>
      <c r="V54" s="21" t="str">
        <f aca="false">IFERROR(INDEX('Vehicle Register'!$V$5:$V$500, MATCH(50, 'Vehicle Register'!$X$5:$X$500, 0)), "")</f>
        <v/>
      </c>
      <c r="W54" s="22" t="str">
        <f aca="false">IFERROR(INDEX('Vehicle Register'!$W$5:$W$500, MATCH(50, 'Vehicle Register'!$X$5:$X$500, 0)), "")</f>
        <v/>
      </c>
    </row>
    <row r="55" customFormat="false" ht="15" hidden="false" customHeight="false" outlineLevel="0" collapsed="false">
      <c r="A55" s="18" t="str">
        <f aca="false">IFERROR(INDEX('Vehicle Register'!$A$5:$A$500, MATCH(51, 'Vehicle Register'!$X$5:$X$500, 0)), "")</f>
        <v/>
      </c>
      <c r="B55" s="18" t="str">
        <f aca="false">IFERROR(INDEX('Vehicle Register'!$B$5:$B$500, MATCH(51, 'Vehicle Register'!$X$5:$X$500, 0)), "")</f>
        <v/>
      </c>
      <c r="C55" s="18" t="str">
        <f aca="false">IFERROR(INDEX('Vehicle Register'!$C$5:$C$500, MATCH(51, 'Vehicle Register'!$X$5:$X$500, 0)), "")</f>
        <v/>
      </c>
      <c r="D55" s="18" t="str">
        <f aca="false">IFERROR(INDEX('Vehicle Register'!$D$5:$D$500, MATCH(51, 'Vehicle Register'!$X$5:$X$500, 0)), "")</f>
        <v/>
      </c>
      <c r="E55" s="18" t="str">
        <f aca="false">IFERROR(INDEX('Vehicle Register'!$E$5:$E$500, MATCH(51, 'Vehicle Register'!$X$5:$X$500, 0)), "")</f>
        <v/>
      </c>
      <c r="F55" s="18" t="str">
        <f aca="false">IFERROR(INDEX('Vehicle Register'!$F$5:$F$500, MATCH(51, 'Vehicle Register'!$X$5:$X$500, 0)), "")</f>
        <v/>
      </c>
      <c r="G55" s="18" t="str">
        <f aca="false">IFERROR(INDEX('Vehicle Register'!$G$5:$G$500, MATCH(51, 'Vehicle Register'!$X$5:$X$500, 0)), "")</f>
        <v/>
      </c>
      <c r="H55" s="18" t="str">
        <f aca="false">IFERROR(INDEX('Vehicle Register'!$H$5:$H$500, MATCH(51, 'Vehicle Register'!$X$5:$X$500, 0)), "")</f>
        <v/>
      </c>
      <c r="I55" s="18" t="str">
        <f aca="false">IFERROR(INDEX('Vehicle Register'!$I$5:$I$500, MATCH(51, 'Vehicle Register'!$X$5:$X$500, 0)), "")</f>
        <v/>
      </c>
      <c r="J55" s="18" t="str">
        <f aca="false">IFERROR(INDEX('Vehicle Register'!$J$5:$J$500, MATCH(51, 'Vehicle Register'!$X$5:$X$500, 0)), "")</f>
        <v/>
      </c>
      <c r="K55" s="19" t="str">
        <f aca="false">IFERROR(INDEX('Vehicle Register'!$K$5:$K$500, MATCH(51, 'Vehicle Register'!$X$5:$X$500, 0)), "")</f>
        <v/>
      </c>
      <c r="L55" s="20" t="str">
        <f aca="false">IFERROR(INDEX('Vehicle Register'!$L$5:$L$500, MATCH(51, 'Vehicle Register'!$X$5:$X$500, 0)), "")</f>
        <v/>
      </c>
      <c r="M55" s="20" t="str">
        <f aca="false">IFERROR(INDEX('Vehicle Register'!$M$5:$M$500, MATCH(51, 'Vehicle Register'!$X$5:$X$500, 0)), "")</f>
        <v/>
      </c>
      <c r="N55" s="20" t="str">
        <f aca="false">IFERROR(INDEX('Vehicle Register'!$N$5:$N$500, MATCH(51, 'Vehicle Register'!$X$5:$X$500, 0)), "")</f>
        <v/>
      </c>
      <c r="O55" s="18" t="str">
        <f aca="false">IFERROR(INDEX('Vehicle Register'!$O$5:$O$500, MATCH(51, 'Vehicle Register'!$X$5:$X$500, 0)), "")</f>
        <v/>
      </c>
      <c r="P55" s="18" t="str">
        <f aca="false">IFERROR(INDEX('Vehicle Register'!$P$5:$P$500, MATCH(51, 'Vehicle Register'!$X$5:$X$500, 0)), "")</f>
        <v/>
      </c>
      <c r="Q55" s="20" t="str">
        <f aca="false">IFERROR(INDEX('Vehicle Register'!$Q$5:$Q$500, MATCH(51, 'Vehicle Register'!$X$5:$X$500, 0)), "")</f>
        <v/>
      </c>
      <c r="R55" s="19" t="str">
        <f aca="false">IFERROR(INDEX('Vehicle Register'!$R$5:$R$500, MATCH(51, 'Vehicle Register'!$X$5:$X$500, 0)), "")</f>
        <v/>
      </c>
      <c r="S55" s="20" t="str">
        <f aca="false">IFERROR(INDEX('Vehicle Register'!$S$5:$S$500, MATCH(51, 'Vehicle Register'!$X$5:$X$500, 0)), "")</f>
        <v/>
      </c>
      <c r="T55" s="18" t="str">
        <f aca="false">IFERROR(INDEX('Vehicle Register'!$T$5:$T$500, MATCH(51, 'Vehicle Register'!$X$5:$X$500, 0)), "")</f>
        <v/>
      </c>
      <c r="U55" s="20" t="str">
        <f aca="false">IFERROR(INDEX('Vehicle Register'!$U$5:$U$500, MATCH(51, 'Vehicle Register'!$X$5:$X$500, 0)), "")</f>
        <v/>
      </c>
      <c r="V55" s="21" t="str">
        <f aca="false">IFERROR(INDEX('Vehicle Register'!$V$5:$V$500, MATCH(51, 'Vehicle Register'!$X$5:$X$500, 0)), "")</f>
        <v/>
      </c>
      <c r="W55" s="22" t="str">
        <f aca="false">IFERROR(INDEX('Vehicle Register'!$W$5:$W$500, MATCH(51, 'Vehicle Register'!$X$5:$X$500, 0)), "")</f>
        <v/>
      </c>
    </row>
    <row r="56" customFormat="false" ht="15" hidden="false" customHeight="false" outlineLevel="0" collapsed="false">
      <c r="A56" s="18" t="str">
        <f aca="false">IFERROR(INDEX('Vehicle Register'!$A$5:$A$500, MATCH(52, 'Vehicle Register'!$X$5:$X$500, 0)), "")</f>
        <v/>
      </c>
      <c r="B56" s="18" t="str">
        <f aca="false">IFERROR(INDEX('Vehicle Register'!$B$5:$B$500, MATCH(52, 'Vehicle Register'!$X$5:$X$500, 0)), "")</f>
        <v/>
      </c>
      <c r="C56" s="18" t="str">
        <f aca="false">IFERROR(INDEX('Vehicle Register'!$C$5:$C$500, MATCH(52, 'Vehicle Register'!$X$5:$X$500, 0)), "")</f>
        <v/>
      </c>
      <c r="D56" s="18" t="str">
        <f aca="false">IFERROR(INDEX('Vehicle Register'!$D$5:$D$500, MATCH(52, 'Vehicle Register'!$X$5:$X$500, 0)), "")</f>
        <v/>
      </c>
      <c r="E56" s="18" t="str">
        <f aca="false">IFERROR(INDEX('Vehicle Register'!$E$5:$E$500, MATCH(52, 'Vehicle Register'!$X$5:$X$500, 0)), "")</f>
        <v/>
      </c>
      <c r="F56" s="18" t="str">
        <f aca="false">IFERROR(INDEX('Vehicle Register'!$F$5:$F$500, MATCH(52, 'Vehicle Register'!$X$5:$X$500, 0)), "")</f>
        <v/>
      </c>
      <c r="G56" s="18" t="str">
        <f aca="false">IFERROR(INDEX('Vehicle Register'!$G$5:$G$500, MATCH(52, 'Vehicle Register'!$X$5:$X$500, 0)), "")</f>
        <v/>
      </c>
      <c r="H56" s="18" t="str">
        <f aca="false">IFERROR(INDEX('Vehicle Register'!$H$5:$H$500, MATCH(52, 'Vehicle Register'!$X$5:$X$500, 0)), "")</f>
        <v/>
      </c>
      <c r="I56" s="18" t="str">
        <f aca="false">IFERROR(INDEX('Vehicle Register'!$I$5:$I$500, MATCH(52, 'Vehicle Register'!$X$5:$X$500, 0)), "")</f>
        <v/>
      </c>
      <c r="J56" s="18" t="str">
        <f aca="false">IFERROR(INDEX('Vehicle Register'!$J$5:$J$500, MATCH(52, 'Vehicle Register'!$X$5:$X$500, 0)), "")</f>
        <v/>
      </c>
      <c r="K56" s="19" t="str">
        <f aca="false">IFERROR(INDEX('Vehicle Register'!$K$5:$K$500, MATCH(52, 'Vehicle Register'!$X$5:$X$500, 0)), "")</f>
        <v/>
      </c>
      <c r="L56" s="20" t="str">
        <f aca="false">IFERROR(INDEX('Vehicle Register'!$L$5:$L$500, MATCH(52, 'Vehicle Register'!$X$5:$X$500, 0)), "")</f>
        <v/>
      </c>
      <c r="M56" s="20" t="str">
        <f aca="false">IFERROR(INDEX('Vehicle Register'!$M$5:$M$500, MATCH(52, 'Vehicle Register'!$X$5:$X$500, 0)), "")</f>
        <v/>
      </c>
      <c r="N56" s="20" t="str">
        <f aca="false">IFERROR(INDEX('Vehicle Register'!$N$5:$N$500, MATCH(52, 'Vehicle Register'!$X$5:$X$500, 0)), "")</f>
        <v/>
      </c>
      <c r="O56" s="18" t="str">
        <f aca="false">IFERROR(INDEX('Vehicle Register'!$O$5:$O$500, MATCH(52, 'Vehicle Register'!$X$5:$X$500, 0)), "")</f>
        <v/>
      </c>
      <c r="P56" s="18" t="str">
        <f aca="false">IFERROR(INDEX('Vehicle Register'!$P$5:$P$500, MATCH(52, 'Vehicle Register'!$X$5:$X$500, 0)), "")</f>
        <v/>
      </c>
      <c r="Q56" s="20" t="str">
        <f aca="false">IFERROR(INDEX('Vehicle Register'!$Q$5:$Q$500, MATCH(52, 'Vehicle Register'!$X$5:$X$500, 0)), "")</f>
        <v/>
      </c>
      <c r="R56" s="19" t="str">
        <f aca="false">IFERROR(INDEX('Vehicle Register'!$R$5:$R$500, MATCH(52, 'Vehicle Register'!$X$5:$X$500, 0)), "")</f>
        <v/>
      </c>
      <c r="S56" s="20" t="str">
        <f aca="false">IFERROR(INDEX('Vehicle Register'!$S$5:$S$500, MATCH(52, 'Vehicle Register'!$X$5:$X$500, 0)), "")</f>
        <v/>
      </c>
      <c r="T56" s="18" t="str">
        <f aca="false">IFERROR(INDEX('Vehicle Register'!$T$5:$T$500, MATCH(52, 'Vehicle Register'!$X$5:$X$500, 0)), "")</f>
        <v/>
      </c>
      <c r="U56" s="20" t="str">
        <f aca="false">IFERROR(INDEX('Vehicle Register'!$U$5:$U$500, MATCH(52, 'Vehicle Register'!$X$5:$X$500, 0)), "")</f>
        <v/>
      </c>
      <c r="V56" s="21" t="str">
        <f aca="false">IFERROR(INDEX('Vehicle Register'!$V$5:$V$500, MATCH(52, 'Vehicle Register'!$X$5:$X$500, 0)), "")</f>
        <v/>
      </c>
      <c r="W56" s="22" t="str">
        <f aca="false">IFERROR(INDEX('Vehicle Register'!$W$5:$W$500, MATCH(52, 'Vehicle Register'!$X$5:$X$500, 0)), "")</f>
        <v/>
      </c>
    </row>
    <row r="57" customFormat="false" ht="15" hidden="false" customHeight="false" outlineLevel="0" collapsed="false">
      <c r="A57" s="18" t="str">
        <f aca="false">IFERROR(INDEX('Vehicle Register'!$A$5:$A$500, MATCH(53, 'Vehicle Register'!$X$5:$X$500, 0)), "")</f>
        <v/>
      </c>
      <c r="B57" s="18" t="str">
        <f aca="false">IFERROR(INDEX('Vehicle Register'!$B$5:$B$500, MATCH(53, 'Vehicle Register'!$X$5:$X$500, 0)), "")</f>
        <v/>
      </c>
      <c r="C57" s="18" t="str">
        <f aca="false">IFERROR(INDEX('Vehicle Register'!$C$5:$C$500, MATCH(53, 'Vehicle Register'!$X$5:$X$500, 0)), "")</f>
        <v/>
      </c>
      <c r="D57" s="18" t="str">
        <f aca="false">IFERROR(INDEX('Vehicle Register'!$D$5:$D$500, MATCH(53, 'Vehicle Register'!$X$5:$X$500, 0)), "")</f>
        <v/>
      </c>
      <c r="E57" s="18" t="str">
        <f aca="false">IFERROR(INDEX('Vehicle Register'!$E$5:$E$500, MATCH(53, 'Vehicle Register'!$X$5:$X$500, 0)), "")</f>
        <v/>
      </c>
      <c r="F57" s="18" t="str">
        <f aca="false">IFERROR(INDEX('Vehicle Register'!$F$5:$F$500, MATCH(53, 'Vehicle Register'!$X$5:$X$500, 0)), "")</f>
        <v/>
      </c>
      <c r="G57" s="18" t="str">
        <f aca="false">IFERROR(INDEX('Vehicle Register'!$G$5:$G$500, MATCH(53, 'Vehicle Register'!$X$5:$X$500, 0)), "")</f>
        <v/>
      </c>
      <c r="H57" s="18" t="str">
        <f aca="false">IFERROR(INDEX('Vehicle Register'!$H$5:$H$500, MATCH(53, 'Vehicle Register'!$X$5:$X$500, 0)), "")</f>
        <v/>
      </c>
      <c r="I57" s="18" t="str">
        <f aca="false">IFERROR(INDEX('Vehicle Register'!$I$5:$I$500, MATCH(53, 'Vehicle Register'!$X$5:$X$500, 0)), "")</f>
        <v/>
      </c>
      <c r="J57" s="18" t="str">
        <f aca="false">IFERROR(INDEX('Vehicle Register'!$J$5:$J$500, MATCH(53, 'Vehicle Register'!$X$5:$X$500, 0)), "")</f>
        <v/>
      </c>
      <c r="K57" s="19" t="str">
        <f aca="false">IFERROR(INDEX('Vehicle Register'!$K$5:$K$500, MATCH(53, 'Vehicle Register'!$X$5:$X$500, 0)), "")</f>
        <v/>
      </c>
      <c r="L57" s="20" t="str">
        <f aca="false">IFERROR(INDEX('Vehicle Register'!$L$5:$L$500, MATCH(53, 'Vehicle Register'!$X$5:$X$500, 0)), "")</f>
        <v/>
      </c>
      <c r="M57" s="20" t="str">
        <f aca="false">IFERROR(INDEX('Vehicle Register'!$M$5:$M$500, MATCH(53, 'Vehicle Register'!$X$5:$X$500, 0)), "")</f>
        <v/>
      </c>
      <c r="N57" s="20" t="str">
        <f aca="false">IFERROR(INDEX('Vehicle Register'!$N$5:$N$500, MATCH(53, 'Vehicle Register'!$X$5:$X$500, 0)), "")</f>
        <v/>
      </c>
      <c r="O57" s="18" t="str">
        <f aca="false">IFERROR(INDEX('Vehicle Register'!$O$5:$O$500, MATCH(53, 'Vehicle Register'!$X$5:$X$500, 0)), "")</f>
        <v/>
      </c>
      <c r="P57" s="18" t="str">
        <f aca="false">IFERROR(INDEX('Vehicle Register'!$P$5:$P$500, MATCH(53, 'Vehicle Register'!$X$5:$X$500, 0)), "")</f>
        <v/>
      </c>
      <c r="Q57" s="20" t="str">
        <f aca="false">IFERROR(INDEX('Vehicle Register'!$Q$5:$Q$500, MATCH(53, 'Vehicle Register'!$X$5:$X$500, 0)), "")</f>
        <v/>
      </c>
      <c r="R57" s="19" t="str">
        <f aca="false">IFERROR(INDEX('Vehicle Register'!$R$5:$R$500, MATCH(53, 'Vehicle Register'!$X$5:$X$500, 0)), "")</f>
        <v/>
      </c>
      <c r="S57" s="20" t="str">
        <f aca="false">IFERROR(INDEX('Vehicle Register'!$S$5:$S$500, MATCH(53, 'Vehicle Register'!$X$5:$X$500, 0)), "")</f>
        <v/>
      </c>
      <c r="T57" s="18" t="str">
        <f aca="false">IFERROR(INDEX('Vehicle Register'!$T$5:$T$500, MATCH(53, 'Vehicle Register'!$X$5:$X$500, 0)), "")</f>
        <v/>
      </c>
      <c r="U57" s="20" t="str">
        <f aca="false">IFERROR(INDEX('Vehicle Register'!$U$5:$U$500, MATCH(53, 'Vehicle Register'!$X$5:$X$500, 0)), "")</f>
        <v/>
      </c>
      <c r="V57" s="21" t="str">
        <f aca="false">IFERROR(INDEX('Vehicle Register'!$V$5:$V$500, MATCH(53, 'Vehicle Register'!$X$5:$X$500, 0)), "")</f>
        <v/>
      </c>
      <c r="W57" s="22" t="str">
        <f aca="false">IFERROR(INDEX('Vehicle Register'!$W$5:$W$500, MATCH(53, 'Vehicle Register'!$X$5:$X$500, 0)), "")</f>
        <v/>
      </c>
    </row>
    <row r="58" customFormat="false" ht="15" hidden="false" customHeight="false" outlineLevel="0" collapsed="false">
      <c r="A58" s="18" t="str">
        <f aca="false">IFERROR(INDEX('Vehicle Register'!$A$5:$A$500, MATCH(54, 'Vehicle Register'!$X$5:$X$500, 0)), "")</f>
        <v/>
      </c>
      <c r="B58" s="18" t="str">
        <f aca="false">IFERROR(INDEX('Vehicle Register'!$B$5:$B$500, MATCH(54, 'Vehicle Register'!$X$5:$X$500, 0)), "")</f>
        <v/>
      </c>
      <c r="C58" s="18" t="str">
        <f aca="false">IFERROR(INDEX('Vehicle Register'!$C$5:$C$500, MATCH(54, 'Vehicle Register'!$X$5:$X$500, 0)), "")</f>
        <v/>
      </c>
      <c r="D58" s="18" t="str">
        <f aca="false">IFERROR(INDEX('Vehicle Register'!$D$5:$D$500, MATCH(54, 'Vehicle Register'!$X$5:$X$500, 0)), "")</f>
        <v/>
      </c>
      <c r="E58" s="18" t="str">
        <f aca="false">IFERROR(INDEX('Vehicle Register'!$E$5:$E$500, MATCH(54, 'Vehicle Register'!$X$5:$X$500, 0)), "")</f>
        <v/>
      </c>
      <c r="F58" s="18" t="str">
        <f aca="false">IFERROR(INDEX('Vehicle Register'!$F$5:$F$500, MATCH(54, 'Vehicle Register'!$X$5:$X$500, 0)), "")</f>
        <v/>
      </c>
      <c r="G58" s="18" t="str">
        <f aca="false">IFERROR(INDEX('Vehicle Register'!$G$5:$G$500, MATCH(54, 'Vehicle Register'!$X$5:$X$500, 0)), "")</f>
        <v/>
      </c>
      <c r="H58" s="18" t="str">
        <f aca="false">IFERROR(INDEX('Vehicle Register'!$H$5:$H$500, MATCH(54, 'Vehicle Register'!$X$5:$X$500, 0)), "")</f>
        <v/>
      </c>
      <c r="I58" s="18" t="str">
        <f aca="false">IFERROR(INDEX('Vehicle Register'!$I$5:$I$500, MATCH(54, 'Vehicle Register'!$X$5:$X$500, 0)), "")</f>
        <v/>
      </c>
      <c r="J58" s="18" t="str">
        <f aca="false">IFERROR(INDEX('Vehicle Register'!$J$5:$J$500, MATCH(54, 'Vehicle Register'!$X$5:$X$500, 0)), "")</f>
        <v/>
      </c>
      <c r="K58" s="19" t="str">
        <f aca="false">IFERROR(INDEX('Vehicle Register'!$K$5:$K$500, MATCH(54, 'Vehicle Register'!$X$5:$X$500, 0)), "")</f>
        <v/>
      </c>
      <c r="L58" s="20" t="str">
        <f aca="false">IFERROR(INDEX('Vehicle Register'!$L$5:$L$500, MATCH(54, 'Vehicle Register'!$X$5:$X$500, 0)), "")</f>
        <v/>
      </c>
      <c r="M58" s="20" t="str">
        <f aca="false">IFERROR(INDEX('Vehicle Register'!$M$5:$M$500, MATCH(54, 'Vehicle Register'!$X$5:$X$500, 0)), "")</f>
        <v/>
      </c>
      <c r="N58" s="20" t="str">
        <f aca="false">IFERROR(INDEX('Vehicle Register'!$N$5:$N$500, MATCH(54, 'Vehicle Register'!$X$5:$X$500, 0)), "")</f>
        <v/>
      </c>
      <c r="O58" s="18" t="str">
        <f aca="false">IFERROR(INDEX('Vehicle Register'!$O$5:$O$500, MATCH(54, 'Vehicle Register'!$X$5:$X$500, 0)), "")</f>
        <v/>
      </c>
      <c r="P58" s="18" t="str">
        <f aca="false">IFERROR(INDEX('Vehicle Register'!$P$5:$P$500, MATCH(54, 'Vehicle Register'!$X$5:$X$500, 0)), "")</f>
        <v/>
      </c>
      <c r="Q58" s="20" t="str">
        <f aca="false">IFERROR(INDEX('Vehicle Register'!$Q$5:$Q$500, MATCH(54, 'Vehicle Register'!$X$5:$X$500, 0)), "")</f>
        <v/>
      </c>
      <c r="R58" s="19" t="str">
        <f aca="false">IFERROR(INDEX('Vehicle Register'!$R$5:$R$500, MATCH(54, 'Vehicle Register'!$X$5:$X$500, 0)), "")</f>
        <v/>
      </c>
      <c r="S58" s="20" t="str">
        <f aca="false">IFERROR(INDEX('Vehicle Register'!$S$5:$S$500, MATCH(54, 'Vehicle Register'!$X$5:$X$500, 0)), "")</f>
        <v/>
      </c>
      <c r="T58" s="18" t="str">
        <f aca="false">IFERROR(INDEX('Vehicle Register'!$T$5:$T$500, MATCH(54, 'Vehicle Register'!$X$5:$X$500, 0)), "")</f>
        <v/>
      </c>
      <c r="U58" s="20" t="str">
        <f aca="false">IFERROR(INDEX('Vehicle Register'!$U$5:$U$500, MATCH(54, 'Vehicle Register'!$X$5:$X$500, 0)), "")</f>
        <v/>
      </c>
      <c r="V58" s="21" t="str">
        <f aca="false">IFERROR(INDEX('Vehicle Register'!$V$5:$V$500, MATCH(54, 'Vehicle Register'!$X$5:$X$500, 0)), "")</f>
        <v/>
      </c>
      <c r="W58" s="22" t="str">
        <f aca="false">IFERROR(INDEX('Vehicle Register'!$W$5:$W$500, MATCH(54, 'Vehicle Register'!$X$5:$X$500, 0)), "")</f>
        <v/>
      </c>
    </row>
    <row r="59" customFormat="false" ht="15" hidden="false" customHeight="false" outlineLevel="0" collapsed="false">
      <c r="A59" s="18" t="str">
        <f aca="false">IFERROR(INDEX('Vehicle Register'!$A$5:$A$500, MATCH(55, 'Vehicle Register'!$X$5:$X$500, 0)), "")</f>
        <v/>
      </c>
      <c r="B59" s="18" t="str">
        <f aca="false">IFERROR(INDEX('Vehicle Register'!$B$5:$B$500, MATCH(55, 'Vehicle Register'!$X$5:$X$500, 0)), "")</f>
        <v/>
      </c>
      <c r="C59" s="18" t="str">
        <f aca="false">IFERROR(INDEX('Vehicle Register'!$C$5:$C$500, MATCH(55, 'Vehicle Register'!$X$5:$X$500, 0)), "")</f>
        <v/>
      </c>
      <c r="D59" s="18" t="str">
        <f aca="false">IFERROR(INDEX('Vehicle Register'!$D$5:$D$500, MATCH(55, 'Vehicle Register'!$X$5:$X$500, 0)), "")</f>
        <v/>
      </c>
      <c r="E59" s="18" t="str">
        <f aca="false">IFERROR(INDEX('Vehicle Register'!$E$5:$E$500, MATCH(55, 'Vehicle Register'!$X$5:$X$500, 0)), "")</f>
        <v/>
      </c>
      <c r="F59" s="18" t="str">
        <f aca="false">IFERROR(INDEX('Vehicle Register'!$F$5:$F$500, MATCH(55, 'Vehicle Register'!$X$5:$X$500, 0)), "")</f>
        <v/>
      </c>
      <c r="G59" s="18" t="str">
        <f aca="false">IFERROR(INDEX('Vehicle Register'!$G$5:$G$500, MATCH(55, 'Vehicle Register'!$X$5:$X$500, 0)), "")</f>
        <v/>
      </c>
      <c r="H59" s="18" t="str">
        <f aca="false">IFERROR(INDEX('Vehicle Register'!$H$5:$H$500, MATCH(55, 'Vehicle Register'!$X$5:$X$500, 0)), "")</f>
        <v/>
      </c>
      <c r="I59" s="18" t="str">
        <f aca="false">IFERROR(INDEX('Vehicle Register'!$I$5:$I$500, MATCH(55, 'Vehicle Register'!$X$5:$X$500, 0)), "")</f>
        <v/>
      </c>
      <c r="J59" s="18" t="str">
        <f aca="false">IFERROR(INDEX('Vehicle Register'!$J$5:$J$500, MATCH(55, 'Vehicle Register'!$X$5:$X$500, 0)), "")</f>
        <v/>
      </c>
      <c r="K59" s="19" t="str">
        <f aca="false">IFERROR(INDEX('Vehicle Register'!$K$5:$K$500, MATCH(55, 'Vehicle Register'!$X$5:$X$500, 0)), "")</f>
        <v/>
      </c>
      <c r="L59" s="20" t="str">
        <f aca="false">IFERROR(INDEX('Vehicle Register'!$L$5:$L$500, MATCH(55, 'Vehicle Register'!$X$5:$X$500, 0)), "")</f>
        <v/>
      </c>
      <c r="M59" s="20" t="str">
        <f aca="false">IFERROR(INDEX('Vehicle Register'!$M$5:$M$500, MATCH(55, 'Vehicle Register'!$X$5:$X$500, 0)), "")</f>
        <v/>
      </c>
      <c r="N59" s="20" t="str">
        <f aca="false">IFERROR(INDEX('Vehicle Register'!$N$5:$N$500, MATCH(55, 'Vehicle Register'!$X$5:$X$500, 0)), "")</f>
        <v/>
      </c>
      <c r="O59" s="18" t="str">
        <f aca="false">IFERROR(INDEX('Vehicle Register'!$O$5:$O$500, MATCH(55, 'Vehicle Register'!$X$5:$X$500, 0)), "")</f>
        <v/>
      </c>
      <c r="P59" s="18" t="str">
        <f aca="false">IFERROR(INDEX('Vehicle Register'!$P$5:$P$500, MATCH(55, 'Vehicle Register'!$X$5:$X$500, 0)), "")</f>
        <v/>
      </c>
      <c r="Q59" s="20" t="str">
        <f aca="false">IFERROR(INDEX('Vehicle Register'!$Q$5:$Q$500, MATCH(55, 'Vehicle Register'!$X$5:$X$500, 0)), "")</f>
        <v/>
      </c>
      <c r="R59" s="19" t="str">
        <f aca="false">IFERROR(INDEX('Vehicle Register'!$R$5:$R$500, MATCH(55, 'Vehicle Register'!$X$5:$X$500, 0)), "")</f>
        <v/>
      </c>
      <c r="S59" s="20" t="str">
        <f aca="false">IFERROR(INDEX('Vehicle Register'!$S$5:$S$500, MATCH(55, 'Vehicle Register'!$X$5:$X$500, 0)), "")</f>
        <v/>
      </c>
      <c r="T59" s="18" t="str">
        <f aca="false">IFERROR(INDEX('Vehicle Register'!$T$5:$T$500, MATCH(55, 'Vehicle Register'!$X$5:$X$500, 0)), "")</f>
        <v/>
      </c>
      <c r="U59" s="20" t="str">
        <f aca="false">IFERROR(INDEX('Vehicle Register'!$U$5:$U$500, MATCH(55, 'Vehicle Register'!$X$5:$X$500, 0)), "")</f>
        <v/>
      </c>
      <c r="V59" s="21" t="str">
        <f aca="false">IFERROR(INDEX('Vehicle Register'!$V$5:$V$500, MATCH(55, 'Vehicle Register'!$X$5:$X$500, 0)), "")</f>
        <v/>
      </c>
      <c r="W59" s="22" t="str">
        <f aca="false">IFERROR(INDEX('Vehicle Register'!$W$5:$W$500, MATCH(55, 'Vehicle Register'!$X$5:$X$500, 0)), "")</f>
        <v/>
      </c>
    </row>
    <row r="60" customFormat="false" ht="15" hidden="false" customHeight="false" outlineLevel="0" collapsed="false">
      <c r="A60" s="18" t="str">
        <f aca="false">IFERROR(INDEX('Vehicle Register'!$A$5:$A$500, MATCH(56, 'Vehicle Register'!$X$5:$X$500, 0)), "")</f>
        <v/>
      </c>
      <c r="B60" s="18" t="str">
        <f aca="false">IFERROR(INDEX('Vehicle Register'!$B$5:$B$500, MATCH(56, 'Vehicle Register'!$X$5:$X$500, 0)), "")</f>
        <v/>
      </c>
      <c r="C60" s="18" t="str">
        <f aca="false">IFERROR(INDEX('Vehicle Register'!$C$5:$C$500, MATCH(56, 'Vehicle Register'!$X$5:$X$500, 0)), "")</f>
        <v/>
      </c>
      <c r="D60" s="18" t="str">
        <f aca="false">IFERROR(INDEX('Vehicle Register'!$D$5:$D$500, MATCH(56, 'Vehicle Register'!$X$5:$X$500, 0)), "")</f>
        <v/>
      </c>
      <c r="E60" s="18" t="str">
        <f aca="false">IFERROR(INDEX('Vehicle Register'!$E$5:$E$500, MATCH(56, 'Vehicle Register'!$X$5:$X$500, 0)), "")</f>
        <v/>
      </c>
      <c r="F60" s="18" t="str">
        <f aca="false">IFERROR(INDEX('Vehicle Register'!$F$5:$F$500, MATCH(56, 'Vehicle Register'!$X$5:$X$500, 0)), "")</f>
        <v/>
      </c>
      <c r="G60" s="18" t="str">
        <f aca="false">IFERROR(INDEX('Vehicle Register'!$G$5:$G$500, MATCH(56, 'Vehicle Register'!$X$5:$X$500, 0)), "")</f>
        <v/>
      </c>
      <c r="H60" s="18" t="str">
        <f aca="false">IFERROR(INDEX('Vehicle Register'!$H$5:$H$500, MATCH(56, 'Vehicle Register'!$X$5:$X$500, 0)), "")</f>
        <v/>
      </c>
      <c r="I60" s="18" t="str">
        <f aca="false">IFERROR(INDEX('Vehicle Register'!$I$5:$I$500, MATCH(56, 'Vehicle Register'!$X$5:$X$500, 0)), "")</f>
        <v/>
      </c>
      <c r="J60" s="18" t="str">
        <f aca="false">IFERROR(INDEX('Vehicle Register'!$J$5:$J$500, MATCH(56, 'Vehicle Register'!$X$5:$X$500, 0)), "")</f>
        <v/>
      </c>
      <c r="K60" s="19" t="str">
        <f aca="false">IFERROR(INDEX('Vehicle Register'!$K$5:$K$500, MATCH(56, 'Vehicle Register'!$X$5:$X$500, 0)), "")</f>
        <v/>
      </c>
      <c r="L60" s="20" t="str">
        <f aca="false">IFERROR(INDEX('Vehicle Register'!$L$5:$L$500, MATCH(56, 'Vehicle Register'!$X$5:$X$500, 0)), "")</f>
        <v/>
      </c>
      <c r="M60" s="20" t="str">
        <f aca="false">IFERROR(INDEX('Vehicle Register'!$M$5:$M$500, MATCH(56, 'Vehicle Register'!$X$5:$X$500, 0)), "")</f>
        <v/>
      </c>
      <c r="N60" s="20" t="str">
        <f aca="false">IFERROR(INDEX('Vehicle Register'!$N$5:$N$500, MATCH(56, 'Vehicle Register'!$X$5:$X$500, 0)), "")</f>
        <v/>
      </c>
      <c r="O60" s="18" t="str">
        <f aca="false">IFERROR(INDEX('Vehicle Register'!$O$5:$O$500, MATCH(56, 'Vehicle Register'!$X$5:$X$500, 0)), "")</f>
        <v/>
      </c>
      <c r="P60" s="18" t="str">
        <f aca="false">IFERROR(INDEX('Vehicle Register'!$P$5:$P$500, MATCH(56, 'Vehicle Register'!$X$5:$X$500, 0)), "")</f>
        <v/>
      </c>
      <c r="Q60" s="20" t="str">
        <f aca="false">IFERROR(INDEX('Vehicle Register'!$Q$5:$Q$500, MATCH(56, 'Vehicle Register'!$X$5:$X$500, 0)), "")</f>
        <v/>
      </c>
      <c r="R60" s="19" t="str">
        <f aca="false">IFERROR(INDEX('Vehicle Register'!$R$5:$R$500, MATCH(56, 'Vehicle Register'!$X$5:$X$500, 0)), "")</f>
        <v/>
      </c>
      <c r="S60" s="20" t="str">
        <f aca="false">IFERROR(INDEX('Vehicle Register'!$S$5:$S$500, MATCH(56, 'Vehicle Register'!$X$5:$X$500, 0)), "")</f>
        <v/>
      </c>
      <c r="T60" s="18" t="str">
        <f aca="false">IFERROR(INDEX('Vehicle Register'!$T$5:$T$500, MATCH(56, 'Vehicle Register'!$X$5:$X$500, 0)), "")</f>
        <v/>
      </c>
      <c r="U60" s="20" t="str">
        <f aca="false">IFERROR(INDEX('Vehicle Register'!$U$5:$U$500, MATCH(56, 'Vehicle Register'!$X$5:$X$500, 0)), "")</f>
        <v/>
      </c>
      <c r="V60" s="21" t="str">
        <f aca="false">IFERROR(INDEX('Vehicle Register'!$V$5:$V$500, MATCH(56, 'Vehicle Register'!$X$5:$X$500, 0)), "")</f>
        <v/>
      </c>
      <c r="W60" s="22" t="str">
        <f aca="false">IFERROR(INDEX('Vehicle Register'!$W$5:$W$500, MATCH(56, 'Vehicle Register'!$X$5:$X$500, 0)), "")</f>
        <v/>
      </c>
    </row>
    <row r="61" customFormat="false" ht="15" hidden="false" customHeight="false" outlineLevel="0" collapsed="false">
      <c r="A61" s="18" t="str">
        <f aca="false">IFERROR(INDEX('Vehicle Register'!$A$5:$A$500, MATCH(57, 'Vehicle Register'!$X$5:$X$500, 0)), "")</f>
        <v/>
      </c>
      <c r="B61" s="18" t="str">
        <f aca="false">IFERROR(INDEX('Vehicle Register'!$B$5:$B$500, MATCH(57, 'Vehicle Register'!$X$5:$X$500, 0)), "")</f>
        <v/>
      </c>
      <c r="C61" s="18" t="str">
        <f aca="false">IFERROR(INDEX('Vehicle Register'!$C$5:$C$500, MATCH(57, 'Vehicle Register'!$X$5:$X$500, 0)), "")</f>
        <v/>
      </c>
      <c r="D61" s="18" t="str">
        <f aca="false">IFERROR(INDEX('Vehicle Register'!$D$5:$D$500, MATCH(57, 'Vehicle Register'!$X$5:$X$500, 0)), "")</f>
        <v/>
      </c>
      <c r="E61" s="18" t="str">
        <f aca="false">IFERROR(INDEX('Vehicle Register'!$E$5:$E$500, MATCH(57, 'Vehicle Register'!$X$5:$X$500, 0)), "")</f>
        <v/>
      </c>
      <c r="F61" s="18" t="str">
        <f aca="false">IFERROR(INDEX('Vehicle Register'!$F$5:$F$500, MATCH(57, 'Vehicle Register'!$X$5:$X$500, 0)), "")</f>
        <v/>
      </c>
      <c r="G61" s="18" t="str">
        <f aca="false">IFERROR(INDEX('Vehicle Register'!$G$5:$G$500, MATCH(57, 'Vehicle Register'!$X$5:$X$500, 0)), "")</f>
        <v/>
      </c>
      <c r="H61" s="18" t="str">
        <f aca="false">IFERROR(INDEX('Vehicle Register'!$H$5:$H$500, MATCH(57, 'Vehicle Register'!$X$5:$X$500, 0)), "")</f>
        <v/>
      </c>
      <c r="I61" s="18" t="str">
        <f aca="false">IFERROR(INDEX('Vehicle Register'!$I$5:$I$500, MATCH(57, 'Vehicle Register'!$X$5:$X$500, 0)), "")</f>
        <v/>
      </c>
      <c r="J61" s="18" t="str">
        <f aca="false">IFERROR(INDEX('Vehicle Register'!$J$5:$J$500, MATCH(57, 'Vehicle Register'!$X$5:$X$500, 0)), "")</f>
        <v/>
      </c>
      <c r="K61" s="19" t="str">
        <f aca="false">IFERROR(INDEX('Vehicle Register'!$K$5:$K$500, MATCH(57, 'Vehicle Register'!$X$5:$X$500, 0)), "")</f>
        <v/>
      </c>
      <c r="L61" s="20" t="str">
        <f aca="false">IFERROR(INDEX('Vehicle Register'!$L$5:$L$500, MATCH(57, 'Vehicle Register'!$X$5:$X$500, 0)), "")</f>
        <v/>
      </c>
      <c r="M61" s="20" t="str">
        <f aca="false">IFERROR(INDEX('Vehicle Register'!$M$5:$M$500, MATCH(57, 'Vehicle Register'!$X$5:$X$500, 0)), "")</f>
        <v/>
      </c>
      <c r="N61" s="20" t="str">
        <f aca="false">IFERROR(INDEX('Vehicle Register'!$N$5:$N$500, MATCH(57, 'Vehicle Register'!$X$5:$X$500, 0)), "")</f>
        <v/>
      </c>
      <c r="O61" s="18" t="str">
        <f aca="false">IFERROR(INDEX('Vehicle Register'!$O$5:$O$500, MATCH(57, 'Vehicle Register'!$X$5:$X$500, 0)), "")</f>
        <v/>
      </c>
      <c r="P61" s="18" t="str">
        <f aca="false">IFERROR(INDEX('Vehicle Register'!$P$5:$P$500, MATCH(57, 'Vehicle Register'!$X$5:$X$500, 0)), "")</f>
        <v/>
      </c>
      <c r="Q61" s="20" t="str">
        <f aca="false">IFERROR(INDEX('Vehicle Register'!$Q$5:$Q$500, MATCH(57, 'Vehicle Register'!$X$5:$X$500, 0)), "")</f>
        <v/>
      </c>
      <c r="R61" s="19" t="str">
        <f aca="false">IFERROR(INDEX('Vehicle Register'!$R$5:$R$500, MATCH(57, 'Vehicle Register'!$X$5:$X$500, 0)), "")</f>
        <v/>
      </c>
      <c r="S61" s="20" t="str">
        <f aca="false">IFERROR(INDEX('Vehicle Register'!$S$5:$S$500, MATCH(57, 'Vehicle Register'!$X$5:$X$500, 0)), "")</f>
        <v/>
      </c>
      <c r="T61" s="18" t="str">
        <f aca="false">IFERROR(INDEX('Vehicle Register'!$T$5:$T$500, MATCH(57, 'Vehicle Register'!$X$5:$X$500, 0)), "")</f>
        <v/>
      </c>
      <c r="U61" s="20" t="str">
        <f aca="false">IFERROR(INDEX('Vehicle Register'!$U$5:$U$500, MATCH(57, 'Vehicle Register'!$X$5:$X$500, 0)), "")</f>
        <v/>
      </c>
      <c r="V61" s="21" t="str">
        <f aca="false">IFERROR(INDEX('Vehicle Register'!$V$5:$V$500, MATCH(57, 'Vehicle Register'!$X$5:$X$500, 0)), "")</f>
        <v/>
      </c>
      <c r="W61" s="22" t="str">
        <f aca="false">IFERROR(INDEX('Vehicle Register'!$W$5:$W$500, MATCH(57, 'Vehicle Register'!$X$5:$X$500, 0)), "")</f>
        <v/>
      </c>
    </row>
    <row r="62" customFormat="false" ht="15" hidden="false" customHeight="false" outlineLevel="0" collapsed="false">
      <c r="A62" s="18" t="str">
        <f aca="false">IFERROR(INDEX('Vehicle Register'!$A$5:$A$500, MATCH(58, 'Vehicle Register'!$X$5:$X$500, 0)), "")</f>
        <v/>
      </c>
      <c r="B62" s="18" t="str">
        <f aca="false">IFERROR(INDEX('Vehicle Register'!$B$5:$B$500, MATCH(58, 'Vehicle Register'!$X$5:$X$500, 0)), "")</f>
        <v/>
      </c>
      <c r="C62" s="18" t="str">
        <f aca="false">IFERROR(INDEX('Vehicle Register'!$C$5:$C$500, MATCH(58, 'Vehicle Register'!$X$5:$X$500, 0)), "")</f>
        <v/>
      </c>
      <c r="D62" s="18" t="str">
        <f aca="false">IFERROR(INDEX('Vehicle Register'!$D$5:$D$500, MATCH(58, 'Vehicle Register'!$X$5:$X$500, 0)), "")</f>
        <v/>
      </c>
      <c r="E62" s="18" t="str">
        <f aca="false">IFERROR(INDEX('Vehicle Register'!$E$5:$E$500, MATCH(58, 'Vehicle Register'!$X$5:$X$500, 0)), "")</f>
        <v/>
      </c>
      <c r="F62" s="18" t="str">
        <f aca="false">IFERROR(INDEX('Vehicle Register'!$F$5:$F$500, MATCH(58, 'Vehicle Register'!$X$5:$X$500, 0)), "")</f>
        <v/>
      </c>
      <c r="G62" s="18" t="str">
        <f aca="false">IFERROR(INDEX('Vehicle Register'!$G$5:$G$500, MATCH(58, 'Vehicle Register'!$X$5:$X$500, 0)), "")</f>
        <v/>
      </c>
      <c r="H62" s="18" t="str">
        <f aca="false">IFERROR(INDEX('Vehicle Register'!$H$5:$H$500, MATCH(58, 'Vehicle Register'!$X$5:$X$500, 0)), "")</f>
        <v/>
      </c>
      <c r="I62" s="18" t="str">
        <f aca="false">IFERROR(INDEX('Vehicle Register'!$I$5:$I$500, MATCH(58, 'Vehicle Register'!$X$5:$X$500, 0)), "")</f>
        <v/>
      </c>
      <c r="J62" s="18" t="str">
        <f aca="false">IFERROR(INDEX('Vehicle Register'!$J$5:$J$500, MATCH(58, 'Vehicle Register'!$X$5:$X$500, 0)), "")</f>
        <v/>
      </c>
      <c r="K62" s="19" t="str">
        <f aca="false">IFERROR(INDEX('Vehicle Register'!$K$5:$K$500, MATCH(58, 'Vehicle Register'!$X$5:$X$500, 0)), "")</f>
        <v/>
      </c>
      <c r="L62" s="20" t="str">
        <f aca="false">IFERROR(INDEX('Vehicle Register'!$L$5:$L$500, MATCH(58, 'Vehicle Register'!$X$5:$X$500, 0)), "")</f>
        <v/>
      </c>
      <c r="M62" s="20" t="str">
        <f aca="false">IFERROR(INDEX('Vehicle Register'!$M$5:$M$500, MATCH(58, 'Vehicle Register'!$X$5:$X$500, 0)), "")</f>
        <v/>
      </c>
      <c r="N62" s="20" t="str">
        <f aca="false">IFERROR(INDEX('Vehicle Register'!$N$5:$N$500, MATCH(58, 'Vehicle Register'!$X$5:$X$500, 0)), "")</f>
        <v/>
      </c>
      <c r="O62" s="18" t="str">
        <f aca="false">IFERROR(INDEX('Vehicle Register'!$O$5:$O$500, MATCH(58, 'Vehicle Register'!$X$5:$X$500, 0)), "")</f>
        <v/>
      </c>
      <c r="P62" s="18" t="str">
        <f aca="false">IFERROR(INDEX('Vehicle Register'!$P$5:$P$500, MATCH(58, 'Vehicle Register'!$X$5:$X$500, 0)), "")</f>
        <v/>
      </c>
      <c r="Q62" s="20" t="str">
        <f aca="false">IFERROR(INDEX('Vehicle Register'!$Q$5:$Q$500, MATCH(58, 'Vehicle Register'!$X$5:$X$500, 0)), "")</f>
        <v/>
      </c>
      <c r="R62" s="19" t="str">
        <f aca="false">IFERROR(INDEX('Vehicle Register'!$R$5:$R$500, MATCH(58, 'Vehicle Register'!$X$5:$X$500, 0)), "")</f>
        <v/>
      </c>
      <c r="S62" s="20" t="str">
        <f aca="false">IFERROR(INDEX('Vehicle Register'!$S$5:$S$500, MATCH(58, 'Vehicle Register'!$X$5:$X$500, 0)), "")</f>
        <v/>
      </c>
      <c r="T62" s="18" t="str">
        <f aca="false">IFERROR(INDEX('Vehicle Register'!$T$5:$T$500, MATCH(58, 'Vehicle Register'!$X$5:$X$500, 0)), "")</f>
        <v/>
      </c>
      <c r="U62" s="20" t="str">
        <f aca="false">IFERROR(INDEX('Vehicle Register'!$U$5:$U$500, MATCH(58, 'Vehicle Register'!$X$5:$X$500, 0)), "")</f>
        <v/>
      </c>
      <c r="V62" s="21" t="str">
        <f aca="false">IFERROR(INDEX('Vehicle Register'!$V$5:$V$500, MATCH(58, 'Vehicle Register'!$X$5:$X$500, 0)), "")</f>
        <v/>
      </c>
      <c r="W62" s="22" t="str">
        <f aca="false">IFERROR(INDEX('Vehicle Register'!$W$5:$W$500, MATCH(58, 'Vehicle Register'!$X$5:$X$500, 0)), "")</f>
        <v/>
      </c>
    </row>
    <row r="63" customFormat="false" ht="15" hidden="false" customHeight="false" outlineLevel="0" collapsed="false">
      <c r="A63" s="18" t="str">
        <f aca="false">IFERROR(INDEX('Vehicle Register'!$A$5:$A$500, MATCH(59, 'Vehicle Register'!$X$5:$X$500, 0)), "")</f>
        <v/>
      </c>
      <c r="B63" s="18" t="str">
        <f aca="false">IFERROR(INDEX('Vehicle Register'!$B$5:$B$500, MATCH(59, 'Vehicle Register'!$X$5:$X$500, 0)), "")</f>
        <v/>
      </c>
      <c r="C63" s="18" t="str">
        <f aca="false">IFERROR(INDEX('Vehicle Register'!$C$5:$C$500, MATCH(59, 'Vehicle Register'!$X$5:$X$500, 0)), "")</f>
        <v/>
      </c>
      <c r="D63" s="18" t="str">
        <f aca="false">IFERROR(INDEX('Vehicle Register'!$D$5:$D$500, MATCH(59, 'Vehicle Register'!$X$5:$X$500, 0)), "")</f>
        <v/>
      </c>
      <c r="E63" s="18" t="str">
        <f aca="false">IFERROR(INDEX('Vehicle Register'!$E$5:$E$500, MATCH(59, 'Vehicle Register'!$X$5:$X$500, 0)), "")</f>
        <v/>
      </c>
      <c r="F63" s="18" t="str">
        <f aca="false">IFERROR(INDEX('Vehicle Register'!$F$5:$F$500, MATCH(59, 'Vehicle Register'!$X$5:$X$500, 0)), "")</f>
        <v/>
      </c>
      <c r="G63" s="18" t="str">
        <f aca="false">IFERROR(INDEX('Vehicle Register'!$G$5:$G$500, MATCH(59, 'Vehicle Register'!$X$5:$X$500, 0)), "")</f>
        <v/>
      </c>
      <c r="H63" s="18" t="str">
        <f aca="false">IFERROR(INDEX('Vehicle Register'!$H$5:$H$500, MATCH(59, 'Vehicle Register'!$X$5:$X$500, 0)), "")</f>
        <v/>
      </c>
      <c r="I63" s="18" t="str">
        <f aca="false">IFERROR(INDEX('Vehicle Register'!$I$5:$I$500, MATCH(59, 'Vehicle Register'!$X$5:$X$500, 0)), "")</f>
        <v/>
      </c>
      <c r="J63" s="18" t="str">
        <f aca="false">IFERROR(INDEX('Vehicle Register'!$J$5:$J$500, MATCH(59, 'Vehicle Register'!$X$5:$X$500, 0)), "")</f>
        <v/>
      </c>
      <c r="K63" s="19" t="str">
        <f aca="false">IFERROR(INDEX('Vehicle Register'!$K$5:$K$500, MATCH(59, 'Vehicle Register'!$X$5:$X$500, 0)), "")</f>
        <v/>
      </c>
      <c r="L63" s="20" t="str">
        <f aca="false">IFERROR(INDEX('Vehicle Register'!$L$5:$L$500, MATCH(59, 'Vehicle Register'!$X$5:$X$500, 0)), "")</f>
        <v/>
      </c>
      <c r="M63" s="20" t="str">
        <f aca="false">IFERROR(INDEX('Vehicle Register'!$M$5:$M$500, MATCH(59, 'Vehicle Register'!$X$5:$X$500, 0)), "")</f>
        <v/>
      </c>
      <c r="N63" s="20" t="str">
        <f aca="false">IFERROR(INDEX('Vehicle Register'!$N$5:$N$500, MATCH(59, 'Vehicle Register'!$X$5:$X$500, 0)), "")</f>
        <v/>
      </c>
      <c r="O63" s="18" t="str">
        <f aca="false">IFERROR(INDEX('Vehicle Register'!$O$5:$O$500, MATCH(59, 'Vehicle Register'!$X$5:$X$500, 0)), "")</f>
        <v/>
      </c>
      <c r="P63" s="18" t="str">
        <f aca="false">IFERROR(INDEX('Vehicle Register'!$P$5:$P$500, MATCH(59, 'Vehicle Register'!$X$5:$X$500, 0)), "")</f>
        <v/>
      </c>
      <c r="Q63" s="20" t="str">
        <f aca="false">IFERROR(INDEX('Vehicle Register'!$Q$5:$Q$500, MATCH(59, 'Vehicle Register'!$X$5:$X$500, 0)), "")</f>
        <v/>
      </c>
      <c r="R63" s="19" t="str">
        <f aca="false">IFERROR(INDEX('Vehicle Register'!$R$5:$R$500, MATCH(59, 'Vehicle Register'!$X$5:$X$500, 0)), "")</f>
        <v/>
      </c>
      <c r="S63" s="20" t="str">
        <f aca="false">IFERROR(INDEX('Vehicle Register'!$S$5:$S$500, MATCH(59, 'Vehicle Register'!$X$5:$X$500, 0)), "")</f>
        <v/>
      </c>
      <c r="T63" s="18" t="str">
        <f aca="false">IFERROR(INDEX('Vehicle Register'!$T$5:$T$500, MATCH(59, 'Vehicle Register'!$X$5:$X$500, 0)), "")</f>
        <v/>
      </c>
      <c r="U63" s="20" t="str">
        <f aca="false">IFERROR(INDEX('Vehicle Register'!$U$5:$U$500, MATCH(59, 'Vehicle Register'!$X$5:$X$500, 0)), "")</f>
        <v/>
      </c>
      <c r="V63" s="21" t="str">
        <f aca="false">IFERROR(INDEX('Vehicle Register'!$V$5:$V$500, MATCH(59, 'Vehicle Register'!$X$5:$X$500, 0)), "")</f>
        <v/>
      </c>
      <c r="W63" s="22" t="str">
        <f aca="false">IFERROR(INDEX('Vehicle Register'!$W$5:$W$500, MATCH(59, 'Vehicle Register'!$X$5:$X$500, 0)), "")</f>
        <v/>
      </c>
    </row>
    <row r="64" customFormat="false" ht="15" hidden="false" customHeight="false" outlineLevel="0" collapsed="false">
      <c r="A64" s="18" t="str">
        <f aca="false">IFERROR(INDEX('Vehicle Register'!$A$5:$A$500, MATCH(60, 'Vehicle Register'!$X$5:$X$500, 0)), "")</f>
        <v/>
      </c>
      <c r="B64" s="18" t="str">
        <f aca="false">IFERROR(INDEX('Vehicle Register'!$B$5:$B$500, MATCH(60, 'Vehicle Register'!$X$5:$X$500, 0)), "")</f>
        <v/>
      </c>
      <c r="C64" s="18" t="str">
        <f aca="false">IFERROR(INDEX('Vehicle Register'!$C$5:$C$500, MATCH(60, 'Vehicle Register'!$X$5:$X$500, 0)), "")</f>
        <v/>
      </c>
      <c r="D64" s="18" t="str">
        <f aca="false">IFERROR(INDEX('Vehicle Register'!$D$5:$D$500, MATCH(60, 'Vehicle Register'!$X$5:$X$500, 0)), "")</f>
        <v/>
      </c>
      <c r="E64" s="18" t="str">
        <f aca="false">IFERROR(INDEX('Vehicle Register'!$E$5:$E$500, MATCH(60, 'Vehicle Register'!$X$5:$X$500, 0)), "")</f>
        <v/>
      </c>
      <c r="F64" s="18" t="str">
        <f aca="false">IFERROR(INDEX('Vehicle Register'!$F$5:$F$500, MATCH(60, 'Vehicle Register'!$X$5:$X$500, 0)), "")</f>
        <v/>
      </c>
      <c r="G64" s="18" t="str">
        <f aca="false">IFERROR(INDEX('Vehicle Register'!$G$5:$G$500, MATCH(60, 'Vehicle Register'!$X$5:$X$500, 0)), "")</f>
        <v/>
      </c>
      <c r="H64" s="18" t="str">
        <f aca="false">IFERROR(INDEX('Vehicle Register'!$H$5:$H$500, MATCH(60, 'Vehicle Register'!$X$5:$X$500, 0)), "")</f>
        <v/>
      </c>
      <c r="I64" s="18" t="str">
        <f aca="false">IFERROR(INDEX('Vehicle Register'!$I$5:$I$500, MATCH(60, 'Vehicle Register'!$X$5:$X$500, 0)), "")</f>
        <v/>
      </c>
      <c r="J64" s="18" t="str">
        <f aca="false">IFERROR(INDEX('Vehicle Register'!$J$5:$J$500, MATCH(60, 'Vehicle Register'!$X$5:$X$500, 0)), "")</f>
        <v/>
      </c>
      <c r="K64" s="19" t="str">
        <f aca="false">IFERROR(INDEX('Vehicle Register'!$K$5:$K$500, MATCH(60, 'Vehicle Register'!$X$5:$X$500, 0)), "")</f>
        <v/>
      </c>
      <c r="L64" s="20" t="str">
        <f aca="false">IFERROR(INDEX('Vehicle Register'!$L$5:$L$500, MATCH(60, 'Vehicle Register'!$X$5:$X$500, 0)), "")</f>
        <v/>
      </c>
      <c r="M64" s="20" t="str">
        <f aca="false">IFERROR(INDEX('Vehicle Register'!$M$5:$M$500, MATCH(60, 'Vehicle Register'!$X$5:$X$500, 0)), "")</f>
        <v/>
      </c>
      <c r="N64" s="20" t="str">
        <f aca="false">IFERROR(INDEX('Vehicle Register'!$N$5:$N$500, MATCH(60, 'Vehicle Register'!$X$5:$X$500, 0)), "")</f>
        <v/>
      </c>
      <c r="O64" s="18" t="str">
        <f aca="false">IFERROR(INDEX('Vehicle Register'!$O$5:$O$500, MATCH(60, 'Vehicle Register'!$X$5:$X$500, 0)), "")</f>
        <v/>
      </c>
      <c r="P64" s="18" t="str">
        <f aca="false">IFERROR(INDEX('Vehicle Register'!$P$5:$P$500, MATCH(60, 'Vehicle Register'!$X$5:$X$500, 0)), "")</f>
        <v/>
      </c>
      <c r="Q64" s="20" t="str">
        <f aca="false">IFERROR(INDEX('Vehicle Register'!$Q$5:$Q$500, MATCH(60, 'Vehicle Register'!$X$5:$X$500, 0)), "")</f>
        <v/>
      </c>
      <c r="R64" s="19" t="str">
        <f aca="false">IFERROR(INDEX('Vehicle Register'!$R$5:$R$500, MATCH(60, 'Vehicle Register'!$X$5:$X$500, 0)), "")</f>
        <v/>
      </c>
      <c r="S64" s="20" t="str">
        <f aca="false">IFERROR(INDEX('Vehicle Register'!$S$5:$S$500, MATCH(60, 'Vehicle Register'!$X$5:$X$500, 0)), "")</f>
        <v/>
      </c>
      <c r="T64" s="18" t="str">
        <f aca="false">IFERROR(INDEX('Vehicle Register'!$T$5:$T$500, MATCH(60, 'Vehicle Register'!$X$5:$X$500, 0)), "")</f>
        <v/>
      </c>
      <c r="U64" s="20" t="str">
        <f aca="false">IFERROR(INDEX('Vehicle Register'!$U$5:$U$500, MATCH(60, 'Vehicle Register'!$X$5:$X$500, 0)), "")</f>
        <v/>
      </c>
      <c r="V64" s="21" t="str">
        <f aca="false">IFERROR(INDEX('Vehicle Register'!$V$5:$V$500, MATCH(60, 'Vehicle Register'!$X$5:$X$500, 0)), "")</f>
        <v/>
      </c>
      <c r="W64" s="22" t="str">
        <f aca="false">IFERROR(INDEX('Vehicle Register'!$W$5:$W$500, MATCH(60, 'Vehicle Register'!$X$5:$X$500, 0)), "")</f>
        <v/>
      </c>
    </row>
    <row r="66" customFormat="false" ht="15" hidden="false" customHeight="false" outlineLevel="0" collapsed="false">
      <c r="A66" s="2" t="s">
        <v>213</v>
      </c>
      <c r="B66" s="2"/>
      <c r="C66" s="2"/>
      <c r="D66" s="2"/>
      <c r="E66" s="2"/>
      <c r="F66" s="2"/>
    </row>
  </sheetData>
  <mergeCells count="3">
    <mergeCell ref="A1:W1"/>
    <mergeCell ref="A2:W2"/>
    <mergeCell ref="A66:F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15"/>
    <col collapsed="false" customWidth="true" hidden="false" outlineLevel="0" max="16" min="16" style="0" width="18"/>
    <col collapsed="false" customWidth="true" hidden="false" outlineLevel="0" max="18" min="17" style="0" width="13"/>
    <col collapsed="false" customWidth="true" hidden="false" outlineLevel="0" max="19" min="19" style="0" width="15"/>
    <col collapsed="false" customWidth="true" hidden="false" outlineLevel="0" max="21" min="20" style="0" width="11"/>
    <col collapsed="false" customWidth="true" hidden="false" outlineLevel="0" max="22" min="22" style="0" width="10"/>
    <col collapsed="false" customWidth="true" hidden="false" outlineLevel="0" max="23" min="23" style="0" width="12"/>
  </cols>
  <sheetData>
    <row r="1" customFormat="false" ht="24" hidden="false" customHeight="true" outlineLevel="0" collapsed="false">
      <c r="A1" s="1" t="s">
        <v>214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2.65" hidden="false" customHeight="false" outlineLevel="0" collapsed="false">
      <c r="A2" s="2" t="s">
        <v>215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6" hidden="false" customHeight="true" outlineLevel="0" collapsed="false"/>
    <row r="4" customFormat="false" ht="39.75" hidden="false" customHeight="true" outlineLevel="0" collapsed="false">
      <c r="A4" s="10" t="s">
        <v>35</v>
      </c>
      <c r="B4" s="10" t="s">
        <v>36</v>
      </c>
      <c r="C4" s="10" t="s">
        <v>37</v>
      </c>
      <c r="D4" s="10" t="s">
        <v>38</v>
      </c>
      <c r="E4" s="10" t="s">
        <v>39</v>
      </c>
      <c r="F4" s="10" t="s">
        <v>40</v>
      </c>
      <c r="G4" s="10" t="s">
        <v>41</v>
      </c>
      <c r="H4" s="10" t="s">
        <v>42</v>
      </c>
      <c r="I4" s="10" t="s">
        <v>43</v>
      </c>
      <c r="J4" s="10" t="s">
        <v>44</v>
      </c>
      <c r="K4" s="10" t="s">
        <v>45</v>
      </c>
      <c r="L4" s="10" t="s">
        <v>46</v>
      </c>
      <c r="M4" s="10" t="s">
        <v>47</v>
      </c>
      <c r="N4" s="10" t="s">
        <v>48</v>
      </c>
      <c r="O4" s="10" t="s">
        <v>49</v>
      </c>
      <c r="P4" s="10" t="s">
        <v>50</v>
      </c>
      <c r="Q4" s="10" t="s">
        <v>51</v>
      </c>
      <c r="R4" s="10" t="s">
        <v>52</v>
      </c>
      <c r="S4" s="10" t="s">
        <v>53</v>
      </c>
      <c r="T4" s="10" t="s">
        <v>54</v>
      </c>
      <c r="U4" s="10" t="s">
        <v>55</v>
      </c>
      <c r="V4" s="10" t="s">
        <v>56</v>
      </c>
      <c r="W4" s="10" t="s">
        <v>57</v>
      </c>
    </row>
    <row r="5" customFormat="false" ht="15" hidden="false" customHeight="false" outlineLevel="0" collapsed="false">
      <c r="A5" s="18" t="str">
        <f aca="false">IFERROR(INDEX('Vehicle Register'!$A$5:$A$500, MATCH(1, 'Vehicle Register'!$Y$5:$Y$500, 0)), "")</f>
        <v>RM-0011</v>
      </c>
      <c r="B5" s="18" t="str">
        <f aca="false">IFERROR(INDEX('Vehicle Register'!$B$5:$B$500, MATCH(1, 'Vehicle Register'!$Y$5:$Y$500, 0)), "")</f>
        <v>Sold</v>
      </c>
      <c r="C5" s="18" t="str">
        <f aca="false">IFERROR(INDEX('Vehicle Register'!$C$5:$C$500, MATCH(1, 'Vehicle Register'!$Y$5:$Y$500, 0)), "")</f>
        <v>Used</v>
      </c>
      <c r="D5" s="18" t="str">
        <f aca="false">IFERROR(INDEX('Vehicle Register'!$D$5:$D$500, MATCH(1, 'Vehicle Register'!$Y$5:$Y$500, 0)), "")</f>
        <v>Honda</v>
      </c>
      <c r="E5" s="18" t="str">
        <f aca="false">IFERROR(INDEX('Vehicle Register'!$E$5:$E$500, MATCH(1, 'Vehicle Register'!$Y$5:$Y$500, 0)), "")</f>
        <v>Honda Dream 125i</v>
      </c>
      <c r="F5" s="18" t="n">
        <f aca="false">IFERROR(INDEX('Vehicle Register'!$F$5:$F$500, MATCH(1, 'Vehicle Register'!$Y$5:$Y$500, 0)), "")</f>
        <v>2021</v>
      </c>
      <c r="G5" s="18" t="str">
        <f aca="false">IFERROR(INDEX('Vehicle Register'!$G$5:$G$500, MATCH(1, 'Vehicle Register'!$Y$5:$Y$500, 0)), "")</f>
        <v>Red</v>
      </c>
      <c r="H5" s="18" t="str">
        <f aca="false">IFERROR(INDEX('Vehicle Register'!$H$5:$H$500, MATCH(1, 'Vehicle Register'!$Y$5:$Y$500, 0)), "")</f>
        <v>JC52E-098213</v>
      </c>
      <c r="I5" s="18" t="str">
        <f aca="false">IFERROR(INDEX('Vehicle Register'!$I$5:$I$500, MATCH(1, 'Vehicle Register'!$Y$5:$Y$500, 0)), "")</f>
        <v>MLHJC52E1M8098213</v>
      </c>
      <c r="J5" s="18" t="str">
        <f aca="false">IFERROR(INDEX('Vehicle Register'!$J$5:$J$500, MATCH(1, 'Vehicle Register'!$Y$5:$Y$500, 0)), "")</f>
        <v>2AB-4410</v>
      </c>
      <c r="K5" s="19" t="n">
        <f aca="false">IFERROR(INDEX('Vehicle Register'!$K$5:$K$500, MATCH(1, 'Vehicle Register'!$Y$5:$Y$500, 0)), "")</f>
        <v>46178</v>
      </c>
      <c r="L5" s="20" t="n">
        <f aca="false">IFERROR(INDEX('Vehicle Register'!$L$5:$L$500, MATCH(1, 'Vehicle Register'!$Y$5:$Y$500, 0)), "")</f>
        <v>1150</v>
      </c>
      <c r="M5" s="20" t="n">
        <f aca="false">IFERROR(INDEX('Vehicle Register'!$M$5:$M$500, MATCH(1, 'Vehicle Register'!$Y$5:$Y$500, 0)), "")</f>
        <v>120</v>
      </c>
      <c r="N5" s="20" t="n">
        <f aca="false">IFERROR(INDEX('Vehicle Register'!$N$5:$N$500, MATCH(1, 'Vehicle Register'!$Y$5:$Y$500, 0)), "")</f>
        <v>1270</v>
      </c>
      <c r="O5" s="18" t="str">
        <f aca="false">IFERROR(INDEX('Vehicle Register'!$O$5:$O$500, MATCH(1, 'Vehicle Register'!$Y$5:$Y$500, 0)), "")</f>
        <v>Complete</v>
      </c>
      <c r="P5" s="18" t="str">
        <f aca="false">IFERROR(INDEX('Vehicle Register'!$P$5:$P$500, MATCH(1, 'Vehicle Register'!$Y$5:$Y$500, 0)), "")</f>
        <v>Sok Dara</v>
      </c>
      <c r="Q5" s="20" t="n">
        <f aca="false">IFERROR(INDEX('Vehicle Register'!$Q$5:$Q$500, MATCH(1, 'Vehicle Register'!$Y$5:$Y$500, 0)), "")</f>
        <v>1500</v>
      </c>
      <c r="R5" s="19" t="n">
        <f aca="false">IFERROR(INDEX('Vehicle Register'!$R$5:$R$500, MATCH(1, 'Vehicle Register'!$Y$5:$Y$500, 0)), "")</f>
        <v>46218</v>
      </c>
      <c r="S5" s="20" t="n">
        <f aca="false">IFERROR(INDEX('Vehicle Register'!$S$5:$S$500, MATCH(1, 'Vehicle Register'!$Y$5:$Y$500, 0)), "")</f>
        <v>1450</v>
      </c>
      <c r="T5" s="18" t="n">
        <f aca="false">IFERROR(INDEX('Vehicle Register'!$T$5:$T$500, MATCH(1, 'Vehicle Register'!$Y$5:$Y$500, 0)), "")</f>
        <v>40</v>
      </c>
      <c r="U5" s="20" t="n">
        <f aca="false">IFERROR(INDEX('Vehicle Register'!$U$5:$U$500, MATCH(1, 'Vehicle Register'!$Y$5:$Y$500, 0)), "")</f>
        <v>180</v>
      </c>
      <c r="V5" s="21" t="n">
        <f aca="false">IFERROR(INDEX('Vehicle Register'!$V$5:$V$500, MATCH(1, 'Vehicle Register'!$Y$5:$Y$500, 0)), "")</f>
        <v>0.124137931034483</v>
      </c>
      <c r="W5" s="22" t="n">
        <f aca="false">IFERROR(INDEX('Vehicle Register'!$W$5:$W$500, MATCH(1, 'Vehicle Register'!$Y$5:$Y$500, 0)), "")</f>
        <v>46204</v>
      </c>
    </row>
    <row r="6" customFormat="false" ht="15" hidden="false" customHeight="false" outlineLevel="0" collapsed="false">
      <c r="A6" s="18" t="str">
        <f aca="false">IFERROR(INDEX('Vehicle Register'!$A$5:$A$500, MATCH(2, 'Vehicle Register'!$Y$5:$Y$500, 0)), "")</f>
        <v>RM-0012</v>
      </c>
      <c r="B6" s="18" t="str">
        <f aca="false">IFERROR(INDEX('Vehicle Register'!$B$5:$B$500, MATCH(2, 'Vehicle Register'!$Y$5:$Y$500, 0)), "")</f>
        <v>Sold</v>
      </c>
      <c r="C6" s="18" t="str">
        <f aca="false">IFERROR(INDEX('Vehicle Register'!$C$5:$C$500, MATCH(2, 'Vehicle Register'!$Y$5:$Y$500, 0)), "")</f>
        <v>Used</v>
      </c>
      <c r="D6" s="18" t="str">
        <f aca="false">IFERROR(INDEX('Vehicle Register'!$D$5:$D$500, MATCH(2, 'Vehicle Register'!$Y$5:$Y$500, 0)), "")</f>
        <v>Honda</v>
      </c>
      <c r="E6" s="18" t="str">
        <f aca="false">IFERROR(INDEX('Vehicle Register'!$E$5:$E$500, MATCH(2, 'Vehicle Register'!$Y$5:$Y$500, 0)), "")</f>
        <v>Honda Dream 125i</v>
      </c>
      <c r="F6" s="18" t="n">
        <f aca="false">IFERROR(INDEX('Vehicle Register'!$F$5:$F$500, MATCH(2, 'Vehicle Register'!$Y$5:$Y$500, 0)), "")</f>
        <v>2021</v>
      </c>
      <c r="G6" s="18" t="str">
        <f aca="false">IFERROR(INDEX('Vehicle Register'!$G$5:$G$500, MATCH(2, 'Vehicle Register'!$Y$5:$Y$500, 0)), "")</f>
        <v>Blue</v>
      </c>
      <c r="H6" s="18" t="str">
        <f aca="false">IFERROR(INDEX('Vehicle Register'!$H$5:$H$500, MATCH(2, 'Vehicle Register'!$Y$5:$Y$500, 0)), "")</f>
        <v>JC52E-098214</v>
      </c>
      <c r="I6" s="18" t="str">
        <f aca="false">IFERROR(INDEX('Vehicle Register'!$I$5:$I$500, MATCH(2, 'Vehicle Register'!$Y$5:$Y$500, 0)), "")</f>
        <v>MLHJC52E1M8098214</v>
      </c>
      <c r="J6" s="18" t="str">
        <f aca="false">IFERROR(INDEX('Vehicle Register'!$J$5:$J$500, MATCH(2, 'Vehicle Register'!$Y$5:$Y$500, 0)), "")</f>
        <v>2AB-4411</v>
      </c>
      <c r="K6" s="19" t="n">
        <f aca="false">IFERROR(INDEX('Vehicle Register'!$K$5:$K$500, MATCH(2, 'Vehicle Register'!$Y$5:$Y$500, 0)), "")</f>
        <v>46181</v>
      </c>
      <c r="L6" s="20" t="n">
        <f aca="false">IFERROR(INDEX('Vehicle Register'!$L$5:$L$500, MATCH(2, 'Vehicle Register'!$Y$5:$Y$500, 0)), "")</f>
        <v>1150</v>
      </c>
      <c r="M6" s="20" t="n">
        <f aca="false">IFERROR(INDEX('Vehicle Register'!$M$5:$M$500, MATCH(2, 'Vehicle Register'!$Y$5:$Y$500, 0)), "")</f>
        <v>150</v>
      </c>
      <c r="N6" s="20" t="n">
        <f aca="false">IFERROR(INDEX('Vehicle Register'!$N$5:$N$500, MATCH(2, 'Vehicle Register'!$Y$5:$Y$500, 0)), "")</f>
        <v>1300</v>
      </c>
      <c r="O6" s="18" t="str">
        <f aca="false">IFERROR(INDEX('Vehicle Register'!$O$5:$O$500, MATCH(2, 'Vehicle Register'!$Y$5:$Y$500, 0)), "")</f>
        <v>Complete</v>
      </c>
      <c r="P6" s="18" t="str">
        <f aca="false">IFERROR(INDEX('Vehicle Register'!$P$5:$P$500, MATCH(2, 'Vehicle Register'!$Y$5:$Y$500, 0)), "")</f>
        <v>Chan Vuthy</v>
      </c>
      <c r="Q6" s="20" t="n">
        <f aca="false">IFERROR(INDEX('Vehicle Register'!$Q$5:$Q$500, MATCH(2, 'Vehicle Register'!$Y$5:$Y$500, 0)), "")</f>
        <v>1550</v>
      </c>
      <c r="R6" s="19" t="n">
        <f aca="false">IFERROR(INDEX('Vehicle Register'!$R$5:$R$500, MATCH(2, 'Vehicle Register'!$Y$5:$Y$500, 0)), "")</f>
        <v>46218</v>
      </c>
      <c r="S6" s="20" t="n">
        <f aca="false">IFERROR(INDEX('Vehicle Register'!$S$5:$S$500, MATCH(2, 'Vehicle Register'!$Y$5:$Y$500, 0)), "")</f>
        <v>1500</v>
      </c>
      <c r="T6" s="18" t="n">
        <f aca="false">IFERROR(INDEX('Vehicle Register'!$T$5:$T$500, MATCH(2, 'Vehicle Register'!$Y$5:$Y$500, 0)), "")</f>
        <v>37</v>
      </c>
      <c r="U6" s="20" t="n">
        <f aca="false">IFERROR(INDEX('Vehicle Register'!$U$5:$U$500, MATCH(2, 'Vehicle Register'!$Y$5:$Y$500, 0)), "")</f>
        <v>200</v>
      </c>
      <c r="V6" s="21" t="n">
        <f aca="false">IFERROR(INDEX('Vehicle Register'!$V$5:$V$500, MATCH(2, 'Vehicle Register'!$Y$5:$Y$500, 0)), "")</f>
        <v>0.133333333333333</v>
      </c>
      <c r="W6" s="22" t="n">
        <f aca="false">IFERROR(INDEX('Vehicle Register'!$W$5:$W$500, MATCH(2, 'Vehicle Register'!$Y$5:$Y$500, 0)), "")</f>
        <v>46204</v>
      </c>
    </row>
    <row r="7" customFormat="false" ht="15" hidden="false" customHeight="false" outlineLevel="0" collapsed="false">
      <c r="A7" s="18" t="str">
        <f aca="false">IFERROR(INDEX('Vehicle Register'!$A$5:$A$500, MATCH(3, 'Vehicle Register'!$Y$5:$Y$500, 0)), "")</f>
        <v>RM-0013</v>
      </c>
      <c r="B7" s="18" t="str">
        <f aca="false">IFERROR(INDEX('Vehicle Register'!$B$5:$B$500, MATCH(3, 'Vehicle Register'!$Y$5:$Y$500, 0)), "")</f>
        <v>Sold</v>
      </c>
      <c r="C7" s="18" t="str">
        <f aca="false">IFERROR(INDEX('Vehicle Register'!$C$5:$C$500, MATCH(3, 'Vehicle Register'!$Y$5:$Y$500, 0)), "")</f>
        <v>Used</v>
      </c>
      <c r="D7" s="18" t="str">
        <f aca="false">IFERROR(INDEX('Vehicle Register'!$D$5:$D$500, MATCH(3, 'Vehicle Register'!$Y$5:$Y$500, 0)), "")</f>
        <v>Honda</v>
      </c>
      <c r="E7" s="18" t="str">
        <f aca="false">IFERROR(INDEX('Vehicle Register'!$E$5:$E$500, MATCH(3, 'Vehicle Register'!$Y$5:$Y$500, 0)), "")</f>
        <v>Honda Dream 125i</v>
      </c>
      <c r="F7" s="18" t="n">
        <f aca="false">IFERROR(INDEX('Vehicle Register'!$F$5:$F$500, MATCH(3, 'Vehicle Register'!$Y$5:$Y$500, 0)), "")</f>
        <v>2020</v>
      </c>
      <c r="G7" s="18" t="str">
        <f aca="false">IFERROR(INDEX('Vehicle Register'!$G$5:$G$500, MATCH(3, 'Vehicle Register'!$Y$5:$Y$500, 0)), "")</f>
        <v>Black</v>
      </c>
      <c r="H7" s="18" t="str">
        <f aca="false">IFERROR(INDEX('Vehicle Register'!$H$5:$H$500, MATCH(3, 'Vehicle Register'!$Y$5:$Y$500, 0)), "")</f>
        <v>JC52E-087102</v>
      </c>
      <c r="I7" s="18" t="str">
        <f aca="false">IFERROR(INDEX('Vehicle Register'!$I$5:$I$500, MATCH(3, 'Vehicle Register'!$Y$5:$Y$500, 0)), "")</f>
        <v>MLHJC52E1L8087102</v>
      </c>
      <c r="J7" s="18" t="str">
        <f aca="false">IFERROR(INDEX('Vehicle Register'!$J$5:$J$500, MATCH(3, 'Vehicle Register'!$Y$5:$Y$500, 0)), "")</f>
        <v>2AB-4390</v>
      </c>
      <c r="K7" s="19" t="n">
        <f aca="false">IFERROR(INDEX('Vehicle Register'!$K$5:$K$500, MATCH(3, 'Vehicle Register'!$Y$5:$Y$500, 0)), "")</f>
        <v>46183</v>
      </c>
      <c r="L7" s="20" t="n">
        <f aca="false">IFERROR(INDEX('Vehicle Register'!$L$5:$L$500, MATCH(3, 'Vehicle Register'!$Y$5:$Y$500, 0)), "")</f>
        <v>1050</v>
      </c>
      <c r="M7" s="20" t="n">
        <f aca="false">IFERROR(INDEX('Vehicle Register'!$M$5:$M$500, MATCH(3, 'Vehicle Register'!$Y$5:$Y$500, 0)), "")</f>
        <v>200</v>
      </c>
      <c r="N7" s="20" t="n">
        <f aca="false">IFERROR(INDEX('Vehicle Register'!$N$5:$N$500, MATCH(3, 'Vehicle Register'!$Y$5:$Y$500, 0)), "")</f>
        <v>1250</v>
      </c>
      <c r="O7" s="18" t="str">
        <f aca="false">IFERROR(INDEX('Vehicle Register'!$O$5:$O$500, MATCH(3, 'Vehicle Register'!$Y$5:$Y$500, 0)), "")</f>
        <v>Pending Transfer</v>
      </c>
      <c r="P7" s="18" t="str">
        <f aca="false">IFERROR(INDEX('Vehicle Register'!$P$5:$P$500, MATCH(3, 'Vehicle Register'!$Y$5:$Y$500, 0)), "")</f>
        <v>Heng Sopheak</v>
      </c>
      <c r="Q7" s="20" t="n">
        <f aca="false">IFERROR(INDEX('Vehicle Register'!$Q$5:$Q$500, MATCH(3, 'Vehicle Register'!$Y$5:$Y$500, 0)), "")</f>
        <v>1450</v>
      </c>
      <c r="R7" s="19" t="n">
        <f aca="false">IFERROR(INDEX('Vehicle Register'!$R$5:$R$500, MATCH(3, 'Vehicle Register'!$Y$5:$Y$500, 0)), "")</f>
        <v>46218</v>
      </c>
      <c r="S7" s="20" t="n">
        <f aca="false">IFERROR(INDEX('Vehicle Register'!$S$5:$S$500, MATCH(3, 'Vehicle Register'!$Y$5:$Y$500, 0)), "")</f>
        <v>1400</v>
      </c>
      <c r="T7" s="18" t="n">
        <f aca="false">IFERROR(INDEX('Vehicle Register'!$T$5:$T$500, MATCH(3, 'Vehicle Register'!$Y$5:$Y$500, 0)), "")</f>
        <v>35</v>
      </c>
      <c r="U7" s="20" t="n">
        <f aca="false">IFERROR(INDEX('Vehicle Register'!$U$5:$U$500, MATCH(3, 'Vehicle Register'!$Y$5:$Y$500, 0)), "")</f>
        <v>150</v>
      </c>
      <c r="V7" s="21" t="n">
        <f aca="false">IFERROR(INDEX('Vehicle Register'!$V$5:$V$500, MATCH(3, 'Vehicle Register'!$Y$5:$Y$500, 0)), "")</f>
        <v>0.107142857142857</v>
      </c>
      <c r="W7" s="22" t="n">
        <f aca="false">IFERROR(INDEX('Vehicle Register'!$W$5:$W$500, MATCH(3, 'Vehicle Register'!$Y$5:$Y$500, 0)), "")</f>
        <v>46204</v>
      </c>
    </row>
    <row r="8" customFormat="false" ht="15" hidden="false" customHeight="false" outlineLevel="0" collapsed="false">
      <c r="A8" s="18" t="str">
        <f aca="false">IFERROR(INDEX('Vehicle Register'!$A$5:$A$500, MATCH(4, 'Vehicle Register'!$Y$5:$Y$500, 0)), "")</f>
        <v>RM-0015</v>
      </c>
      <c r="B8" s="18" t="str">
        <f aca="false">IFERROR(INDEX('Vehicle Register'!$B$5:$B$500, MATCH(4, 'Vehicle Register'!$Y$5:$Y$500, 0)), "")</f>
        <v>Sold</v>
      </c>
      <c r="C8" s="18" t="str">
        <f aca="false">IFERROR(INDEX('Vehicle Register'!$C$5:$C$500, MATCH(4, 'Vehicle Register'!$Y$5:$Y$500, 0)), "")</f>
        <v>Used</v>
      </c>
      <c r="D8" s="18" t="str">
        <f aca="false">IFERROR(INDEX('Vehicle Register'!$D$5:$D$500, MATCH(4, 'Vehicle Register'!$Y$5:$Y$500, 0)), "")</f>
        <v>Honda</v>
      </c>
      <c r="E8" s="18" t="str">
        <f aca="false">IFERROR(INDEX('Vehicle Register'!$E$5:$E$500, MATCH(4, 'Vehicle Register'!$Y$5:$Y$500, 0)), "")</f>
        <v>Honda Wave 125i</v>
      </c>
      <c r="F8" s="18" t="n">
        <f aca="false">IFERROR(INDEX('Vehicle Register'!$F$5:$F$500, MATCH(4, 'Vehicle Register'!$Y$5:$Y$500, 0)), "")</f>
        <v>2020</v>
      </c>
      <c r="G8" s="18" t="str">
        <f aca="false">IFERROR(INDEX('Vehicle Register'!$G$5:$G$500, MATCH(4, 'Vehicle Register'!$Y$5:$Y$500, 0)), "")</f>
        <v>Red</v>
      </c>
      <c r="H8" s="18" t="str">
        <f aca="false">IFERROR(INDEX('Vehicle Register'!$H$5:$H$500, MATCH(4, 'Vehicle Register'!$Y$5:$Y$500, 0)), "")</f>
        <v>JA07E-198832</v>
      </c>
      <c r="I8" s="18" t="str">
        <f aca="false">IFERROR(INDEX('Vehicle Register'!$I$5:$I$500, MATCH(4, 'Vehicle Register'!$Y$5:$Y$500, 0)), "")</f>
        <v>MLHJA07E2L8198832</v>
      </c>
      <c r="J8" s="18" t="str">
        <f aca="false">IFERROR(INDEX('Vehicle Register'!$J$5:$J$500, MATCH(4, 'Vehicle Register'!$Y$5:$Y$500, 0)), "")</f>
        <v>2AB-3320</v>
      </c>
      <c r="K8" s="19" t="n">
        <f aca="false">IFERROR(INDEX('Vehicle Register'!$K$5:$K$500, MATCH(4, 'Vehicle Register'!$Y$5:$Y$500, 0)), "")</f>
        <v>46188</v>
      </c>
      <c r="L8" s="20" t="n">
        <f aca="false">IFERROR(INDEX('Vehicle Register'!$L$5:$L$500, MATCH(4, 'Vehicle Register'!$Y$5:$Y$500, 0)), "")</f>
        <v>920</v>
      </c>
      <c r="M8" s="20" t="n">
        <f aca="false">IFERROR(INDEX('Vehicle Register'!$M$5:$M$500, MATCH(4, 'Vehicle Register'!$Y$5:$Y$500, 0)), "")</f>
        <v>80</v>
      </c>
      <c r="N8" s="20" t="n">
        <f aca="false">IFERROR(INDEX('Vehicle Register'!$N$5:$N$500, MATCH(4, 'Vehicle Register'!$Y$5:$Y$500, 0)), "")</f>
        <v>1000</v>
      </c>
      <c r="O8" s="18" t="str">
        <f aca="false">IFERROR(INDEX('Vehicle Register'!$O$5:$O$500, MATCH(4, 'Vehicle Register'!$Y$5:$Y$500, 0)), "")</f>
        <v>Complete</v>
      </c>
      <c r="P8" s="18" t="str">
        <f aca="false">IFERROR(INDEX('Vehicle Register'!$P$5:$P$500, MATCH(4, 'Vehicle Register'!$Y$5:$Y$500, 0)), "")</f>
        <v>Ly Sreymom</v>
      </c>
      <c r="Q8" s="20" t="n">
        <f aca="false">IFERROR(INDEX('Vehicle Register'!$Q$5:$Q$500, MATCH(4, 'Vehicle Register'!$Y$5:$Y$500, 0)), "")</f>
        <v>1250</v>
      </c>
      <c r="R8" s="19" t="n">
        <f aca="false">IFERROR(INDEX('Vehicle Register'!$R$5:$R$500, MATCH(4, 'Vehicle Register'!$Y$5:$Y$500, 0)), "")</f>
        <v>46231</v>
      </c>
      <c r="S8" s="20" t="n">
        <f aca="false">IFERROR(INDEX('Vehicle Register'!$S$5:$S$500, MATCH(4, 'Vehicle Register'!$Y$5:$Y$500, 0)), "")</f>
        <v>1250</v>
      </c>
      <c r="T8" s="18" t="n">
        <f aca="false">IFERROR(INDEX('Vehicle Register'!$T$5:$T$500, MATCH(4, 'Vehicle Register'!$Y$5:$Y$500, 0)), "")</f>
        <v>43</v>
      </c>
      <c r="U8" s="20" t="n">
        <f aca="false">IFERROR(INDEX('Vehicle Register'!$U$5:$U$500, MATCH(4, 'Vehicle Register'!$Y$5:$Y$500, 0)), "")</f>
        <v>250</v>
      </c>
      <c r="V8" s="21" t="n">
        <f aca="false">IFERROR(INDEX('Vehicle Register'!$V$5:$V$500, MATCH(4, 'Vehicle Register'!$Y$5:$Y$500, 0)), "")</f>
        <v>0.2</v>
      </c>
      <c r="W8" s="22" t="n">
        <f aca="false">IFERROR(INDEX('Vehicle Register'!$W$5:$W$500, MATCH(4, 'Vehicle Register'!$Y$5:$Y$500, 0)), "")</f>
        <v>46204</v>
      </c>
    </row>
    <row r="9" customFormat="false" ht="15" hidden="false" customHeight="false" outlineLevel="0" collapsed="false">
      <c r="A9" s="18" t="str">
        <f aca="false">IFERROR(INDEX('Vehicle Register'!$A$5:$A$500, MATCH(5, 'Vehicle Register'!$Y$5:$Y$500, 0)), "")</f>
        <v>RM-0016</v>
      </c>
      <c r="B9" s="18" t="str">
        <f aca="false">IFERROR(INDEX('Vehicle Register'!$B$5:$B$500, MATCH(5, 'Vehicle Register'!$Y$5:$Y$500, 0)), "")</f>
        <v>Sold</v>
      </c>
      <c r="C9" s="18" t="str">
        <f aca="false">IFERROR(INDEX('Vehicle Register'!$C$5:$C$500, MATCH(5, 'Vehicle Register'!$Y$5:$Y$500, 0)), "")</f>
        <v>Used</v>
      </c>
      <c r="D9" s="18" t="str">
        <f aca="false">IFERROR(INDEX('Vehicle Register'!$D$5:$D$500, MATCH(5, 'Vehicle Register'!$Y$5:$Y$500, 0)), "")</f>
        <v>Honda</v>
      </c>
      <c r="E9" s="18" t="str">
        <f aca="false">IFERROR(INDEX('Vehicle Register'!$E$5:$E$500, MATCH(5, 'Vehicle Register'!$Y$5:$Y$500, 0)), "")</f>
        <v>Honda Wave 125i</v>
      </c>
      <c r="F9" s="18" t="n">
        <f aca="false">IFERROR(INDEX('Vehicle Register'!$F$5:$F$500, MATCH(5, 'Vehicle Register'!$Y$5:$Y$500, 0)), "")</f>
        <v>2019</v>
      </c>
      <c r="G9" s="18" t="str">
        <f aca="false">IFERROR(INDEX('Vehicle Register'!$G$5:$G$500, MATCH(5, 'Vehicle Register'!$Y$5:$Y$500, 0)), "")</f>
        <v>Blue</v>
      </c>
      <c r="H9" s="18" t="str">
        <f aca="false">IFERROR(INDEX('Vehicle Register'!$H$5:$H$500, MATCH(5, 'Vehicle Register'!$Y$5:$Y$500, 0)), "")</f>
        <v>JA07E-176621</v>
      </c>
      <c r="I9" s="18" t="str">
        <f aca="false">IFERROR(INDEX('Vehicle Register'!$I$5:$I$500, MATCH(5, 'Vehicle Register'!$Y$5:$Y$500, 0)), "")</f>
        <v>MLHJA07E2K8176621</v>
      </c>
      <c r="J9" s="18" t="str">
        <f aca="false">IFERROR(INDEX('Vehicle Register'!$J$5:$J$500, MATCH(5, 'Vehicle Register'!$Y$5:$Y$500, 0)), "")</f>
        <v>2AB-3298</v>
      </c>
      <c r="K9" s="19" t="n">
        <f aca="false">IFERROR(INDEX('Vehicle Register'!$K$5:$K$500, MATCH(5, 'Vehicle Register'!$Y$5:$Y$500, 0)), "")</f>
        <v>46191</v>
      </c>
      <c r="L9" s="20" t="n">
        <f aca="false">IFERROR(INDEX('Vehicle Register'!$L$5:$L$500, MATCH(5, 'Vehicle Register'!$Y$5:$Y$500, 0)), "")</f>
        <v>920</v>
      </c>
      <c r="M9" s="20" t="n">
        <f aca="false">IFERROR(INDEX('Vehicle Register'!$M$5:$M$500, MATCH(5, 'Vehicle Register'!$Y$5:$Y$500, 0)), "")</f>
        <v>110</v>
      </c>
      <c r="N9" s="20" t="n">
        <f aca="false">IFERROR(INDEX('Vehicle Register'!$N$5:$N$500, MATCH(5, 'Vehicle Register'!$Y$5:$Y$500, 0)), "")</f>
        <v>1030</v>
      </c>
      <c r="O9" s="18" t="str">
        <f aca="false">IFERROR(INDEX('Vehicle Register'!$O$5:$O$500, MATCH(5, 'Vehicle Register'!$Y$5:$Y$500, 0)), "")</f>
        <v>Missing Documents</v>
      </c>
      <c r="P9" s="18" t="str">
        <f aca="false">IFERROR(INDEX('Vehicle Register'!$P$5:$P$500, MATCH(5, 'Vehicle Register'!$Y$5:$Y$500, 0)), "")</f>
        <v>Un Bunthoeun</v>
      </c>
      <c r="Q9" s="20" t="n">
        <f aca="false">IFERROR(INDEX('Vehicle Register'!$Q$5:$Q$500, MATCH(5, 'Vehicle Register'!$Y$5:$Y$500, 0)), "")</f>
        <v>1200</v>
      </c>
      <c r="R9" s="19" t="n">
        <f aca="false">IFERROR(INDEX('Vehicle Register'!$R$5:$R$500, MATCH(5, 'Vehicle Register'!$Y$5:$Y$500, 0)), "")</f>
        <v>46231</v>
      </c>
      <c r="S9" s="20" t="n">
        <f aca="false">IFERROR(INDEX('Vehicle Register'!$S$5:$S$500, MATCH(5, 'Vehicle Register'!$Y$5:$Y$500, 0)), "")</f>
        <v>1150</v>
      </c>
      <c r="T9" s="18" t="n">
        <f aca="false">IFERROR(INDEX('Vehicle Register'!$T$5:$T$500, MATCH(5, 'Vehicle Register'!$Y$5:$Y$500, 0)), "")</f>
        <v>40</v>
      </c>
      <c r="U9" s="20" t="n">
        <f aca="false">IFERROR(INDEX('Vehicle Register'!$U$5:$U$500, MATCH(5, 'Vehicle Register'!$Y$5:$Y$500, 0)), "")</f>
        <v>120</v>
      </c>
      <c r="V9" s="21" t="n">
        <f aca="false">IFERROR(INDEX('Vehicle Register'!$V$5:$V$500, MATCH(5, 'Vehicle Register'!$Y$5:$Y$500, 0)), "")</f>
        <v>0.104347826086957</v>
      </c>
      <c r="W9" s="22" t="n">
        <f aca="false">IFERROR(INDEX('Vehicle Register'!$W$5:$W$500, MATCH(5, 'Vehicle Register'!$Y$5:$Y$500, 0)), "")</f>
        <v>46204</v>
      </c>
    </row>
    <row r="10" customFormat="false" ht="15" hidden="false" customHeight="false" outlineLevel="0" collapsed="false">
      <c r="A10" s="18" t="str">
        <f aca="false">IFERROR(INDEX('Vehicle Register'!$A$5:$A$500, MATCH(6, 'Vehicle Register'!$Y$5:$Y$500, 0)), "")</f>
        <v>RM-0025</v>
      </c>
      <c r="B10" s="18" t="str">
        <f aca="false">IFERROR(INDEX('Vehicle Register'!$B$5:$B$500, MATCH(6, 'Vehicle Register'!$Y$5:$Y$500, 0)), "")</f>
        <v>In Stock</v>
      </c>
      <c r="C10" s="18" t="str">
        <f aca="false">IFERROR(INDEX('Vehicle Register'!$C$5:$C$500, MATCH(6, 'Vehicle Register'!$Y$5:$Y$500, 0)), "")</f>
        <v>Used</v>
      </c>
      <c r="D10" s="18" t="str">
        <f aca="false">IFERROR(INDEX('Vehicle Register'!$D$5:$D$500, MATCH(6, 'Vehicle Register'!$Y$5:$Y$500, 0)), "")</f>
        <v>Honda</v>
      </c>
      <c r="E10" s="18" t="str">
        <f aca="false">IFERROR(INDEX('Vehicle Register'!$E$5:$E$500, MATCH(6, 'Vehicle Register'!$Y$5:$Y$500, 0)), "")</f>
        <v>Honda Future 125</v>
      </c>
      <c r="F10" s="18" t="n">
        <f aca="false">IFERROR(INDEX('Vehicle Register'!$F$5:$F$500, MATCH(6, 'Vehicle Register'!$Y$5:$Y$500, 0)), "")</f>
        <v>2019</v>
      </c>
      <c r="G10" s="18" t="str">
        <f aca="false">IFERROR(INDEX('Vehicle Register'!$G$5:$G$500, MATCH(6, 'Vehicle Register'!$Y$5:$Y$500, 0)), "")</f>
        <v>Silver</v>
      </c>
      <c r="H10" s="18" t="str">
        <f aca="false">IFERROR(INDEX('Vehicle Register'!$H$5:$H$500, MATCH(6, 'Vehicle Register'!$Y$5:$Y$500, 0)), "")</f>
        <v>JD44E-541203</v>
      </c>
      <c r="I10" s="18" t="str">
        <f aca="false">IFERROR(INDEX('Vehicle Register'!$I$5:$I$500, MATCH(6, 'Vehicle Register'!$Y$5:$Y$500, 0)), "")</f>
        <v>MLHJD44E6L8541203</v>
      </c>
      <c r="J10" s="18" t="str">
        <f aca="false">IFERROR(INDEX('Vehicle Register'!$J$5:$J$500, MATCH(6, 'Vehicle Register'!$Y$5:$Y$500, 0)), "")</f>
        <v>2AB-2201</v>
      </c>
      <c r="K10" s="19" t="n">
        <f aca="false">IFERROR(INDEX('Vehicle Register'!$K$5:$K$500, MATCH(6, 'Vehicle Register'!$Y$5:$Y$500, 0)), "")</f>
        <v>46244</v>
      </c>
      <c r="L10" s="20" t="n">
        <f aca="false">IFERROR(INDEX('Vehicle Register'!$L$5:$L$500, MATCH(6, 'Vehicle Register'!$Y$5:$Y$500, 0)), "")</f>
        <v>1000</v>
      </c>
      <c r="M10" s="20" t="n">
        <f aca="false">IFERROR(INDEX('Vehicle Register'!$M$5:$M$500, MATCH(6, 'Vehicle Register'!$Y$5:$Y$500, 0)), "")</f>
        <v>180</v>
      </c>
      <c r="N10" s="20" t="n">
        <f aca="false">IFERROR(INDEX('Vehicle Register'!$N$5:$N$500, MATCH(6, 'Vehicle Register'!$Y$5:$Y$500, 0)), "")</f>
        <v>1180</v>
      </c>
      <c r="O10" s="18" t="str">
        <f aca="false">IFERROR(INDEX('Vehicle Register'!$O$5:$O$500, MATCH(6, 'Vehicle Register'!$Y$5:$Y$500, 0)), "")</f>
        <v>Pending Transfer</v>
      </c>
      <c r="P10" s="18" t="str">
        <f aca="false">IFERROR(INDEX('Vehicle Register'!$P$5:$P$500, MATCH(6, 'Vehicle Register'!$Y$5:$Y$500, 0)), "")</f>
        <v>Prom Kimheng</v>
      </c>
      <c r="Q10" s="20" t="n">
        <f aca="false">IFERROR(INDEX('Vehicle Register'!$Q$5:$Q$500, MATCH(6, 'Vehicle Register'!$Y$5:$Y$500, 0)), "")</f>
        <v>1350</v>
      </c>
      <c r="R10" s="19" t="n">
        <f aca="false">IFERROR(INDEX('Vehicle Register'!$R$5:$R$500, MATCH(6, 'Vehicle Register'!$Y$5:$Y$500, 0)), "")</f>
        <v>0</v>
      </c>
      <c r="S10" s="20" t="n">
        <f aca="false">IFERROR(INDEX('Vehicle Register'!$S$5:$S$500, MATCH(6, 'Vehicle Register'!$Y$5:$Y$500, 0)), "")</f>
        <v>0</v>
      </c>
      <c r="T10" s="18" t="n">
        <f aca="false">IFERROR(INDEX('Vehicle Register'!$T$5:$T$500, MATCH(6, 'Vehicle Register'!$Y$5:$Y$500, 0)), "")</f>
        <v>18</v>
      </c>
      <c r="U10" s="20" t="str">
        <f aca="false">IFERROR(INDEX('Vehicle Register'!$U$5:$U$500, MATCH(6, 'Vehicle Register'!$Y$5:$Y$500, 0)), "")</f>
        <v/>
      </c>
      <c r="V10" s="21" t="str">
        <f aca="false">IFERROR(INDEX('Vehicle Register'!$V$5:$V$500, MATCH(6, 'Vehicle Register'!$Y$5:$Y$500, 0)), "")</f>
        <v/>
      </c>
      <c r="W10" s="22" t="str">
        <f aca="false">IFERROR(INDEX('Vehicle Register'!$W$5:$W$500, MATCH(6, 'Vehicle Register'!$Y$5:$Y$500, 0)), "")</f>
        <v/>
      </c>
    </row>
    <row r="11" customFormat="false" ht="15" hidden="false" customHeight="false" outlineLevel="0" collapsed="false">
      <c r="A11" s="18" t="str">
        <f aca="false">IFERROR(INDEX('Vehicle Register'!$A$5:$A$500, MATCH(7, 'Vehicle Register'!$Y$5:$Y$500, 0)), "")</f>
        <v>RM-0027</v>
      </c>
      <c r="B11" s="18" t="str">
        <f aca="false">IFERROR(INDEX('Vehicle Register'!$B$5:$B$500, MATCH(7, 'Vehicle Register'!$Y$5:$Y$500, 0)), "")</f>
        <v>In Stock</v>
      </c>
      <c r="C11" s="18" t="str">
        <f aca="false">IFERROR(INDEX('Vehicle Register'!$C$5:$C$500, MATCH(7, 'Vehicle Register'!$Y$5:$Y$500, 0)), "")</f>
        <v>Used</v>
      </c>
      <c r="D11" s="18" t="str">
        <f aca="false">IFERROR(INDEX('Vehicle Register'!$D$5:$D$500, MATCH(7, 'Vehicle Register'!$Y$5:$Y$500, 0)), "")</f>
        <v>Honda</v>
      </c>
      <c r="E11" s="18" t="str">
        <f aca="false">IFERROR(INDEX('Vehicle Register'!$E$5:$E$500, MATCH(7, 'Vehicle Register'!$Y$5:$Y$500, 0)), "")</f>
        <v>Honda Click 125i</v>
      </c>
      <c r="F11" s="18" t="n">
        <f aca="false">IFERROR(INDEX('Vehicle Register'!$F$5:$F$500, MATCH(7, 'Vehicle Register'!$Y$5:$Y$500, 0)), "")</f>
        <v>2021</v>
      </c>
      <c r="G11" s="18" t="str">
        <f aca="false">IFERROR(INDEX('Vehicle Register'!$G$5:$G$500, MATCH(7, 'Vehicle Register'!$Y$5:$Y$500, 0)), "")</f>
        <v>Blue</v>
      </c>
      <c r="H11" s="18" t="str">
        <f aca="false">IFERROR(INDEX('Vehicle Register'!$H$5:$H$500, MATCH(7, 'Vehicle Register'!$Y$5:$Y$500, 0)), "")</f>
        <v>JF71E-221044</v>
      </c>
      <c r="I11" s="18" t="str">
        <f aca="false">IFERROR(INDEX('Vehicle Register'!$I$5:$I$500, MATCH(7, 'Vehicle Register'!$Y$5:$Y$500, 0)), "")</f>
        <v>MLHJF71E3M8221044</v>
      </c>
      <c r="J11" s="18" t="str">
        <f aca="false">IFERROR(INDEX('Vehicle Register'!$J$5:$J$500, MATCH(7, 'Vehicle Register'!$Y$5:$Y$500, 0)), "")</f>
        <v>2AB-4502</v>
      </c>
      <c r="K11" s="19" t="n">
        <f aca="false">IFERROR(INDEX('Vehicle Register'!$K$5:$K$500, MATCH(7, 'Vehicle Register'!$Y$5:$Y$500, 0)), "")</f>
        <v>46249</v>
      </c>
      <c r="L11" s="20" t="n">
        <f aca="false">IFERROR(INDEX('Vehicle Register'!$L$5:$L$500, MATCH(7, 'Vehicle Register'!$Y$5:$Y$500, 0)), "")</f>
        <v>1180</v>
      </c>
      <c r="M11" s="20" t="n">
        <f aca="false">IFERROR(INDEX('Vehicle Register'!$M$5:$M$500, MATCH(7, 'Vehicle Register'!$Y$5:$Y$500, 0)), "")</f>
        <v>90</v>
      </c>
      <c r="N11" s="20" t="n">
        <f aca="false">IFERROR(INDEX('Vehicle Register'!$N$5:$N$500, MATCH(7, 'Vehicle Register'!$Y$5:$Y$500, 0)), "")</f>
        <v>1270</v>
      </c>
      <c r="O11" s="18" t="str">
        <f aca="false">IFERROR(INDEX('Vehicle Register'!$O$5:$O$500, MATCH(7, 'Vehicle Register'!$Y$5:$Y$500, 0)), "")</f>
        <v>Missing Documents</v>
      </c>
      <c r="P11" s="18" t="str">
        <f aca="false">IFERROR(INDEX('Vehicle Register'!$P$5:$P$500, MATCH(7, 'Vehicle Register'!$Y$5:$Y$500, 0)), "")</f>
        <v>Vann Chenda</v>
      </c>
      <c r="Q11" s="20" t="n">
        <f aca="false">IFERROR(INDEX('Vehicle Register'!$Q$5:$Q$500, MATCH(7, 'Vehicle Register'!$Y$5:$Y$500, 0)), "")</f>
        <v>1550</v>
      </c>
      <c r="R11" s="19" t="n">
        <f aca="false">IFERROR(INDEX('Vehicle Register'!$R$5:$R$500, MATCH(7, 'Vehicle Register'!$Y$5:$Y$500, 0)), "")</f>
        <v>0</v>
      </c>
      <c r="S11" s="20" t="n">
        <f aca="false">IFERROR(INDEX('Vehicle Register'!$S$5:$S$500, MATCH(7, 'Vehicle Register'!$Y$5:$Y$500, 0)), "")</f>
        <v>0</v>
      </c>
      <c r="T11" s="18" t="n">
        <f aca="false">IFERROR(INDEX('Vehicle Register'!$T$5:$T$500, MATCH(7, 'Vehicle Register'!$Y$5:$Y$500, 0)), "")</f>
        <v>13</v>
      </c>
      <c r="U11" s="20" t="str">
        <f aca="false">IFERROR(INDEX('Vehicle Register'!$U$5:$U$500, MATCH(7, 'Vehicle Register'!$Y$5:$Y$500, 0)), "")</f>
        <v/>
      </c>
      <c r="V11" s="21" t="str">
        <f aca="false">IFERROR(INDEX('Vehicle Register'!$V$5:$V$500, MATCH(7, 'Vehicle Register'!$Y$5:$Y$500, 0)), "")</f>
        <v/>
      </c>
      <c r="W11" s="22" t="str">
        <f aca="false">IFERROR(INDEX('Vehicle Register'!$W$5:$W$500, MATCH(7, 'Vehicle Register'!$Y$5:$Y$500, 0)), "")</f>
        <v/>
      </c>
    </row>
    <row r="12" customFormat="false" ht="15" hidden="false" customHeight="false" outlineLevel="0" collapsed="false">
      <c r="A12" s="18" t="str">
        <f aca="false">IFERROR(INDEX('Vehicle Register'!$A$5:$A$500, MATCH(8, 'Vehicle Register'!$Y$5:$Y$500, 0)), "")</f>
        <v/>
      </c>
      <c r="B12" s="18" t="str">
        <f aca="false">IFERROR(INDEX('Vehicle Register'!$B$5:$B$500, MATCH(8, 'Vehicle Register'!$Y$5:$Y$500, 0)), "")</f>
        <v/>
      </c>
      <c r="C12" s="18" t="str">
        <f aca="false">IFERROR(INDEX('Vehicle Register'!$C$5:$C$500, MATCH(8, 'Vehicle Register'!$Y$5:$Y$500, 0)), "")</f>
        <v/>
      </c>
      <c r="D12" s="18" t="str">
        <f aca="false">IFERROR(INDEX('Vehicle Register'!$D$5:$D$500, MATCH(8, 'Vehicle Register'!$Y$5:$Y$500, 0)), "")</f>
        <v/>
      </c>
      <c r="E12" s="18" t="str">
        <f aca="false">IFERROR(INDEX('Vehicle Register'!$E$5:$E$500, MATCH(8, 'Vehicle Register'!$Y$5:$Y$500, 0)), "")</f>
        <v/>
      </c>
      <c r="F12" s="18" t="str">
        <f aca="false">IFERROR(INDEX('Vehicle Register'!$F$5:$F$500, MATCH(8, 'Vehicle Register'!$Y$5:$Y$500, 0)), "")</f>
        <v/>
      </c>
      <c r="G12" s="18" t="str">
        <f aca="false">IFERROR(INDEX('Vehicle Register'!$G$5:$G$500, MATCH(8, 'Vehicle Register'!$Y$5:$Y$500, 0)), "")</f>
        <v/>
      </c>
      <c r="H12" s="18" t="str">
        <f aca="false">IFERROR(INDEX('Vehicle Register'!$H$5:$H$500, MATCH(8, 'Vehicle Register'!$Y$5:$Y$500, 0)), "")</f>
        <v/>
      </c>
      <c r="I12" s="18" t="str">
        <f aca="false">IFERROR(INDEX('Vehicle Register'!$I$5:$I$500, MATCH(8, 'Vehicle Register'!$Y$5:$Y$500, 0)), "")</f>
        <v/>
      </c>
      <c r="J12" s="18" t="str">
        <f aca="false">IFERROR(INDEX('Vehicle Register'!$J$5:$J$500, MATCH(8, 'Vehicle Register'!$Y$5:$Y$500, 0)), "")</f>
        <v/>
      </c>
      <c r="K12" s="19" t="str">
        <f aca="false">IFERROR(INDEX('Vehicle Register'!$K$5:$K$500, MATCH(8, 'Vehicle Register'!$Y$5:$Y$500, 0)), "")</f>
        <v/>
      </c>
      <c r="L12" s="20" t="str">
        <f aca="false">IFERROR(INDEX('Vehicle Register'!$L$5:$L$500, MATCH(8, 'Vehicle Register'!$Y$5:$Y$500, 0)), "")</f>
        <v/>
      </c>
      <c r="M12" s="20" t="str">
        <f aca="false">IFERROR(INDEX('Vehicle Register'!$M$5:$M$500, MATCH(8, 'Vehicle Register'!$Y$5:$Y$500, 0)), "")</f>
        <v/>
      </c>
      <c r="N12" s="20" t="str">
        <f aca="false">IFERROR(INDEX('Vehicle Register'!$N$5:$N$500, MATCH(8, 'Vehicle Register'!$Y$5:$Y$500, 0)), "")</f>
        <v/>
      </c>
      <c r="O12" s="18" t="str">
        <f aca="false">IFERROR(INDEX('Vehicle Register'!$O$5:$O$500, MATCH(8, 'Vehicle Register'!$Y$5:$Y$500, 0)), "")</f>
        <v/>
      </c>
      <c r="P12" s="18" t="str">
        <f aca="false">IFERROR(INDEX('Vehicle Register'!$P$5:$P$500, MATCH(8, 'Vehicle Register'!$Y$5:$Y$500, 0)), "")</f>
        <v/>
      </c>
      <c r="Q12" s="20" t="str">
        <f aca="false">IFERROR(INDEX('Vehicle Register'!$Q$5:$Q$500, MATCH(8, 'Vehicle Register'!$Y$5:$Y$500, 0)), "")</f>
        <v/>
      </c>
      <c r="R12" s="19" t="str">
        <f aca="false">IFERROR(INDEX('Vehicle Register'!$R$5:$R$500, MATCH(8, 'Vehicle Register'!$Y$5:$Y$500, 0)), "")</f>
        <v/>
      </c>
      <c r="S12" s="20" t="str">
        <f aca="false">IFERROR(INDEX('Vehicle Register'!$S$5:$S$500, MATCH(8, 'Vehicle Register'!$Y$5:$Y$500, 0)), "")</f>
        <v/>
      </c>
      <c r="T12" s="18" t="str">
        <f aca="false">IFERROR(INDEX('Vehicle Register'!$T$5:$T$500, MATCH(8, 'Vehicle Register'!$Y$5:$Y$500, 0)), "")</f>
        <v/>
      </c>
      <c r="U12" s="20" t="str">
        <f aca="false">IFERROR(INDEX('Vehicle Register'!$U$5:$U$500, MATCH(8, 'Vehicle Register'!$Y$5:$Y$500, 0)), "")</f>
        <v/>
      </c>
      <c r="V12" s="21" t="str">
        <f aca="false">IFERROR(INDEX('Vehicle Register'!$V$5:$V$500, MATCH(8, 'Vehicle Register'!$Y$5:$Y$500, 0)), "")</f>
        <v/>
      </c>
      <c r="W12" s="22" t="str">
        <f aca="false">IFERROR(INDEX('Vehicle Register'!$W$5:$W$500, MATCH(8, 'Vehicle Register'!$Y$5:$Y$500, 0)), "")</f>
        <v/>
      </c>
    </row>
    <row r="13" customFormat="false" ht="15" hidden="false" customHeight="false" outlineLevel="0" collapsed="false">
      <c r="A13" s="18" t="str">
        <f aca="false">IFERROR(INDEX('Vehicle Register'!$A$5:$A$500, MATCH(9, 'Vehicle Register'!$Y$5:$Y$500, 0)), "")</f>
        <v/>
      </c>
      <c r="B13" s="18" t="str">
        <f aca="false">IFERROR(INDEX('Vehicle Register'!$B$5:$B$500, MATCH(9, 'Vehicle Register'!$Y$5:$Y$500, 0)), "")</f>
        <v/>
      </c>
      <c r="C13" s="18" t="str">
        <f aca="false">IFERROR(INDEX('Vehicle Register'!$C$5:$C$500, MATCH(9, 'Vehicle Register'!$Y$5:$Y$500, 0)), "")</f>
        <v/>
      </c>
      <c r="D13" s="18" t="str">
        <f aca="false">IFERROR(INDEX('Vehicle Register'!$D$5:$D$500, MATCH(9, 'Vehicle Register'!$Y$5:$Y$500, 0)), "")</f>
        <v/>
      </c>
      <c r="E13" s="18" t="str">
        <f aca="false">IFERROR(INDEX('Vehicle Register'!$E$5:$E$500, MATCH(9, 'Vehicle Register'!$Y$5:$Y$500, 0)), "")</f>
        <v/>
      </c>
      <c r="F13" s="18" t="str">
        <f aca="false">IFERROR(INDEX('Vehicle Register'!$F$5:$F$500, MATCH(9, 'Vehicle Register'!$Y$5:$Y$500, 0)), "")</f>
        <v/>
      </c>
      <c r="G13" s="18" t="str">
        <f aca="false">IFERROR(INDEX('Vehicle Register'!$G$5:$G$500, MATCH(9, 'Vehicle Register'!$Y$5:$Y$500, 0)), "")</f>
        <v/>
      </c>
      <c r="H13" s="18" t="str">
        <f aca="false">IFERROR(INDEX('Vehicle Register'!$H$5:$H$500, MATCH(9, 'Vehicle Register'!$Y$5:$Y$500, 0)), "")</f>
        <v/>
      </c>
      <c r="I13" s="18" t="str">
        <f aca="false">IFERROR(INDEX('Vehicle Register'!$I$5:$I$500, MATCH(9, 'Vehicle Register'!$Y$5:$Y$500, 0)), "")</f>
        <v/>
      </c>
      <c r="J13" s="18" t="str">
        <f aca="false">IFERROR(INDEX('Vehicle Register'!$J$5:$J$500, MATCH(9, 'Vehicle Register'!$Y$5:$Y$500, 0)), "")</f>
        <v/>
      </c>
      <c r="K13" s="19" t="str">
        <f aca="false">IFERROR(INDEX('Vehicle Register'!$K$5:$K$500, MATCH(9, 'Vehicle Register'!$Y$5:$Y$500, 0)), "")</f>
        <v/>
      </c>
      <c r="L13" s="20" t="str">
        <f aca="false">IFERROR(INDEX('Vehicle Register'!$L$5:$L$500, MATCH(9, 'Vehicle Register'!$Y$5:$Y$500, 0)), "")</f>
        <v/>
      </c>
      <c r="M13" s="20" t="str">
        <f aca="false">IFERROR(INDEX('Vehicle Register'!$M$5:$M$500, MATCH(9, 'Vehicle Register'!$Y$5:$Y$500, 0)), "")</f>
        <v/>
      </c>
      <c r="N13" s="20" t="str">
        <f aca="false">IFERROR(INDEX('Vehicle Register'!$N$5:$N$500, MATCH(9, 'Vehicle Register'!$Y$5:$Y$500, 0)), "")</f>
        <v/>
      </c>
      <c r="O13" s="18" t="str">
        <f aca="false">IFERROR(INDEX('Vehicle Register'!$O$5:$O$500, MATCH(9, 'Vehicle Register'!$Y$5:$Y$500, 0)), "")</f>
        <v/>
      </c>
      <c r="P13" s="18" t="str">
        <f aca="false">IFERROR(INDEX('Vehicle Register'!$P$5:$P$500, MATCH(9, 'Vehicle Register'!$Y$5:$Y$500, 0)), "")</f>
        <v/>
      </c>
      <c r="Q13" s="20" t="str">
        <f aca="false">IFERROR(INDEX('Vehicle Register'!$Q$5:$Q$500, MATCH(9, 'Vehicle Register'!$Y$5:$Y$500, 0)), "")</f>
        <v/>
      </c>
      <c r="R13" s="19" t="str">
        <f aca="false">IFERROR(INDEX('Vehicle Register'!$R$5:$R$500, MATCH(9, 'Vehicle Register'!$Y$5:$Y$500, 0)), "")</f>
        <v/>
      </c>
      <c r="S13" s="20" t="str">
        <f aca="false">IFERROR(INDEX('Vehicle Register'!$S$5:$S$500, MATCH(9, 'Vehicle Register'!$Y$5:$Y$500, 0)), "")</f>
        <v/>
      </c>
      <c r="T13" s="18" t="str">
        <f aca="false">IFERROR(INDEX('Vehicle Register'!$T$5:$T$500, MATCH(9, 'Vehicle Register'!$Y$5:$Y$500, 0)), "")</f>
        <v/>
      </c>
      <c r="U13" s="20" t="str">
        <f aca="false">IFERROR(INDEX('Vehicle Register'!$U$5:$U$500, MATCH(9, 'Vehicle Register'!$Y$5:$Y$500, 0)), "")</f>
        <v/>
      </c>
      <c r="V13" s="21" t="str">
        <f aca="false">IFERROR(INDEX('Vehicle Register'!$V$5:$V$500, MATCH(9, 'Vehicle Register'!$Y$5:$Y$500, 0)), "")</f>
        <v/>
      </c>
      <c r="W13" s="22" t="str">
        <f aca="false">IFERROR(INDEX('Vehicle Register'!$W$5:$W$500, MATCH(9, 'Vehicle Register'!$Y$5:$Y$500, 0)), "")</f>
        <v/>
      </c>
    </row>
    <row r="14" customFormat="false" ht="15" hidden="false" customHeight="false" outlineLevel="0" collapsed="false">
      <c r="A14" s="18" t="str">
        <f aca="false">IFERROR(INDEX('Vehicle Register'!$A$5:$A$500, MATCH(10, 'Vehicle Register'!$Y$5:$Y$500, 0)), "")</f>
        <v/>
      </c>
      <c r="B14" s="18" t="str">
        <f aca="false">IFERROR(INDEX('Vehicle Register'!$B$5:$B$500, MATCH(10, 'Vehicle Register'!$Y$5:$Y$500, 0)), "")</f>
        <v/>
      </c>
      <c r="C14" s="18" t="str">
        <f aca="false">IFERROR(INDEX('Vehicle Register'!$C$5:$C$500, MATCH(10, 'Vehicle Register'!$Y$5:$Y$500, 0)), "")</f>
        <v/>
      </c>
      <c r="D14" s="18" t="str">
        <f aca="false">IFERROR(INDEX('Vehicle Register'!$D$5:$D$500, MATCH(10, 'Vehicle Register'!$Y$5:$Y$500, 0)), "")</f>
        <v/>
      </c>
      <c r="E14" s="18" t="str">
        <f aca="false">IFERROR(INDEX('Vehicle Register'!$E$5:$E$500, MATCH(10, 'Vehicle Register'!$Y$5:$Y$500, 0)), "")</f>
        <v/>
      </c>
      <c r="F14" s="18" t="str">
        <f aca="false">IFERROR(INDEX('Vehicle Register'!$F$5:$F$500, MATCH(10, 'Vehicle Register'!$Y$5:$Y$500, 0)), "")</f>
        <v/>
      </c>
      <c r="G14" s="18" t="str">
        <f aca="false">IFERROR(INDEX('Vehicle Register'!$G$5:$G$500, MATCH(10, 'Vehicle Register'!$Y$5:$Y$500, 0)), "")</f>
        <v/>
      </c>
      <c r="H14" s="18" t="str">
        <f aca="false">IFERROR(INDEX('Vehicle Register'!$H$5:$H$500, MATCH(10, 'Vehicle Register'!$Y$5:$Y$500, 0)), "")</f>
        <v/>
      </c>
      <c r="I14" s="18" t="str">
        <f aca="false">IFERROR(INDEX('Vehicle Register'!$I$5:$I$500, MATCH(10, 'Vehicle Register'!$Y$5:$Y$500, 0)), "")</f>
        <v/>
      </c>
      <c r="J14" s="18" t="str">
        <f aca="false">IFERROR(INDEX('Vehicle Register'!$J$5:$J$500, MATCH(10, 'Vehicle Register'!$Y$5:$Y$500, 0)), "")</f>
        <v/>
      </c>
      <c r="K14" s="19" t="str">
        <f aca="false">IFERROR(INDEX('Vehicle Register'!$K$5:$K$500, MATCH(10, 'Vehicle Register'!$Y$5:$Y$500, 0)), "")</f>
        <v/>
      </c>
      <c r="L14" s="20" t="str">
        <f aca="false">IFERROR(INDEX('Vehicle Register'!$L$5:$L$500, MATCH(10, 'Vehicle Register'!$Y$5:$Y$500, 0)), "")</f>
        <v/>
      </c>
      <c r="M14" s="20" t="str">
        <f aca="false">IFERROR(INDEX('Vehicle Register'!$M$5:$M$500, MATCH(10, 'Vehicle Register'!$Y$5:$Y$500, 0)), "")</f>
        <v/>
      </c>
      <c r="N14" s="20" t="str">
        <f aca="false">IFERROR(INDEX('Vehicle Register'!$N$5:$N$500, MATCH(10, 'Vehicle Register'!$Y$5:$Y$500, 0)), "")</f>
        <v/>
      </c>
      <c r="O14" s="18" t="str">
        <f aca="false">IFERROR(INDEX('Vehicle Register'!$O$5:$O$500, MATCH(10, 'Vehicle Register'!$Y$5:$Y$500, 0)), "")</f>
        <v/>
      </c>
      <c r="P14" s="18" t="str">
        <f aca="false">IFERROR(INDEX('Vehicle Register'!$P$5:$P$500, MATCH(10, 'Vehicle Register'!$Y$5:$Y$500, 0)), "")</f>
        <v/>
      </c>
      <c r="Q14" s="20" t="str">
        <f aca="false">IFERROR(INDEX('Vehicle Register'!$Q$5:$Q$500, MATCH(10, 'Vehicle Register'!$Y$5:$Y$500, 0)), "")</f>
        <v/>
      </c>
      <c r="R14" s="19" t="str">
        <f aca="false">IFERROR(INDEX('Vehicle Register'!$R$5:$R$500, MATCH(10, 'Vehicle Register'!$Y$5:$Y$500, 0)), "")</f>
        <v/>
      </c>
      <c r="S14" s="20" t="str">
        <f aca="false">IFERROR(INDEX('Vehicle Register'!$S$5:$S$500, MATCH(10, 'Vehicle Register'!$Y$5:$Y$500, 0)), "")</f>
        <v/>
      </c>
      <c r="T14" s="18" t="str">
        <f aca="false">IFERROR(INDEX('Vehicle Register'!$T$5:$T$500, MATCH(10, 'Vehicle Register'!$Y$5:$Y$500, 0)), "")</f>
        <v/>
      </c>
      <c r="U14" s="20" t="str">
        <f aca="false">IFERROR(INDEX('Vehicle Register'!$U$5:$U$500, MATCH(10, 'Vehicle Register'!$Y$5:$Y$500, 0)), "")</f>
        <v/>
      </c>
      <c r="V14" s="21" t="str">
        <f aca="false">IFERROR(INDEX('Vehicle Register'!$V$5:$V$500, MATCH(10, 'Vehicle Register'!$Y$5:$Y$500, 0)), "")</f>
        <v/>
      </c>
      <c r="W14" s="22" t="str">
        <f aca="false">IFERROR(INDEX('Vehicle Register'!$W$5:$W$500, MATCH(10, 'Vehicle Register'!$Y$5:$Y$500, 0)), "")</f>
        <v/>
      </c>
    </row>
    <row r="15" customFormat="false" ht="15" hidden="false" customHeight="false" outlineLevel="0" collapsed="false">
      <c r="A15" s="18" t="str">
        <f aca="false">IFERROR(INDEX('Vehicle Register'!$A$5:$A$500, MATCH(11, 'Vehicle Register'!$Y$5:$Y$500, 0)), "")</f>
        <v/>
      </c>
      <c r="B15" s="18" t="str">
        <f aca="false">IFERROR(INDEX('Vehicle Register'!$B$5:$B$500, MATCH(11, 'Vehicle Register'!$Y$5:$Y$500, 0)), "")</f>
        <v/>
      </c>
      <c r="C15" s="18" t="str">
        <f aca="false">IFERROR(INDEX('Vehicle Register'!$C$5:$C$500, MATCH(11, 'Vehicle Register'!$Y$5:$Y$500, 0)), "")</f>
        <v/>
      </c>
      <c r="D15" s="18" t="str">
        <f aca="false">IFERROR(INDEX('Vehicle Register'!$D$5:$D$500, MATCH(11, 'Vehicle Register'!$Y$5:$Y$500, 0)), "")</f>
        <v/>
      </c>
      <c r="E15" s="18" t="str">
        <f aca="false">IFERROR(INDEX('Vehicle Register'!$E$5:$E$500, MATCH(11, 'Vehicle Register'!$Y$5:$Y$500, 0)), "")</f>
        <v/>
      </c>
      <c r="F15" s="18" t="str">
        <f aca="false">IFERROR(INDEX('Vehicle Register'!$F$5:$F$500, MATCH(11, 'Vehicle Register'!$Y$5:$Y$500, 0)), "")</f>
        <v/>
      </c>
      <c r="G15" s="18" t="str">
        <f aca="false">IFERROR(INDEX('Vehicle Register'!$G$5:$G$500, MATCH(11, 'Vehicle Register'!$Y$5:$Y$500, 0)), "")</f>
        <v/>
      </c>
      <c r="H15" s="18" t="str">
        <f aca="false">IFERROR(INDEX('Vehicle Register'!$H$5:$H$500, MATCH(11, 'Vehicle Register'!$Y$5:$Y$500, 0)), "")</f>
        <v/>
      </c>
      <c r="I15" s="18" t="str">
        <f aca="false">IFERROR(INDEX('Vehicle Register'!$I$5:$I$500, MATCH(11, 'Vehicle Register'!$Y$5:$Y$500, 0)), "")</f>
        <v/>
      </c>
      <c r="J15" s="18" t="str">
        <f aca="false">IFERROR(INDEX('Vehicle Register'!$J$5:$J$500, MATCH(11, 'Vehicle Register'!$Y$5:$Y$500, 0)), "")</f>
        <v/>
      </c>
      <c r="K15" s="19" t="str">
        <f aca="false">IFERROR(INDEX('Vehicle Register'!$K$5:$K$500, MATCH(11, 'Vehicle Register'!$Y$5:$Y$500, 0)), "")</f>
        <v/>
      </c>
      <c r="L15" s="20" t="str">
        <f aca="false">IFERROR(INDEX('Vehicle Register'!$L$5:$L$500, MATCH(11, 'Vehicle Register'!$Y$5:$Y$500, 0)), "")</f>
        <v/>
      </c>
      <c r="M15" s="20" t="str">
        <f aca="false">IFERROR(INDEX('Vehicle Register'!$M$5:$M$500, MATCH(11, 'Vehicle Register'!$Y$5:$Y$500, 0)), "")</f>
        <v/>
      </c>
      <c r="N15" s="20" t="str">
        <f aca="false">IFERROR(INDEX('Vehicle Register'!$N$5:$N$500, MATCH(11, 'Vehicle Register'!$Y$5:$Y$500, 0)), "")</f>
        <v/>
      </c>
      <c r="O15" s="18" t="str">
        <f aca="false">IFERROR(INDEX('Vehicle Register'!$O$5:$O$500, MATCH(11, 'Vehicle Register'!$Y$5:$Y$500, 0)), "")</f>
        <v/>
      </c>
      <c r="P15" s="18" t="str">
        <f aca="false">IFERROR(INDEX('Vehicle Register'!$P$5:$P$500, MATCH(11, 'Vehicle Register'!$Y$5:$Y$500, 0)), "")</f>
        <v/>
      </c>
      <c r="Q15" s="20" t="str">
        <f aca="false">IFERROR(INDEX('Vehicle Register'!$Q$5:$Q$500, MATCH(11, 'Vehicle Register'!$Y$5:$Y$500, 0)), "")</f>
        <v/>
      </c>
      <c r="R15" s="19" t="str">
        <f aca="false">IFERROR(INDEX('Vehicle Register'!$R$5:$R$500, MATCH(11, 'Vehicle Register'!$Y$5:$Y$500, 0)), "")</f>
        <v/>
      </c>
      <c r="S15" s="20" t="str">
        <f aca="false">IFERROR(INDEX('Vehicle Register'!$S$5:$S$500, MATCH(11, 'Vehicle Register'!$Y$5:$Y$500, 0)), "")</f>
        <v/>
      </c>
      <c r="T15" s="18" t="str">
        <f aca="false">IFERROR(INDEX('Vehicle Register'!$T$5:$T$500, MATCH(11, 'Vehicle Register'!$Y$5:$Y$500, 0)), "")</f>
        <v/>
      </c>
      <c r="U15" s="20" t="str">
        <f aca="false">IFERROR(INDEX('Vehicle Register'!$U$5:$U$500, MATCH(11, 'Vehicle Register'!$Y$5:$Y$500, 0)), "")</f>
        <v/>
      </c>
      <c r="V15" s="21" t="str">
        <f aca="false">IFERROR(INDEX('Vehicle Register'!$V$5:$V$500, MATCH(11, 'Vehicle Register'!$Y$5:$Y$500, 0)), "")</f>
        <v/>
      </c>
      <c r="W15" s="22" t="str">
        <f aca="false">IFERROR(INDEX('Vehicle Register'!$W$5:$W$500, MATCH(11, 'Vehicle Register'!$Y$5:$Y$500, 0)), "")</f>
        <v/>
      </c>
    </row>
    <row r="16" customFormat="false" ht="15" hidden="false" customHeight="false" outlineLevel="0" collapsed="false">
      <c r="A16" s="18" t="str">
        <f aca="false">IFERROR(INDEX('Vehicle Register'!$A$5:$A$500, MATCH(12, 'Vehicle Register'!$Y$5:$Y$500, 0)), "")</f>
        <v/>
      </c>
      <c r="B16" s="18" t="str">
        <f aca="false">IFERROR(INDEX('Vehicle Register'!$B$5:$B$500, MATCH(12, 'Vehicle Register'!$Y$5:$Y$500, 0)), "")</f>
        <v/>
      </c>
      <c r="C16" s="18" t="str">
        <f aca="false">IFERROR(INDEX('Vehicle Register'!$C$5:$C$500, MATCH(12, 'Vehicle Register'!$Y$5:$Y$500, 0)), "")</f>
        <v/>
      </c>
      <c r="D16" s="18" t="str">
        <f aca="false">IFERROR(INDEX('Vehicle Register'!$D$5:$D$500, MATCH(12, 'Vehicle Register'!$Y$5:$Y$500, 0)), "")</f>
        <v/>
      </c>
      <c r="E16" s="18" t="str">
        <f aca="false">IFERROR(INDEX('Vehicle Register'!$E$5:$E$500, MATCH(12, 'Vehicle Register'!$Y$5:$Y$500, 0)), "")</f>
        <v/>
      </c>
      <c r="F16" s="18" t="str">
        <f aca="false">IFERROR(INDEX('Vehicle Register'!$F$5:$F$500, MATCH(12, 'Vehicle Register'!$Y$5:$Y$500, 0)), "")</f>
        <v/>
      </c>
      <c r="G16" s="18" t="str">
        <f aca="false">IFERROR(INDEX('Vehicle Register'!$G$5:$G$500, MATCH(12, 'Vehicle Register'!$Y$5:$Y$500, 0)), "")</f>
        <v/>
      </c>
      <c r="H16" s="18" t="str">
        <f aca="false">IFERROR(INDEX('Vehicle Register'!$H$5:$H$500, MATCH(12, 'Vehicle Register'!$Y$5:$Y$500, 0)), "")</f>
        <v/>
      </c>
      <c r="I16" s="18" t="str">
        <f aca="false">IFERROR(INDEX('Vehicle Register'!$I$5:$I$500, MATCH(12, 'Vehicle Register'!$Y$5:$Y$500, 0)), "")</f>
        <v/>
      </c>
      <c r="J16" s="18" t="str">
        <f aca="false">IFERROR(INDEX('Vehicle Register'!$J$5:$J$500, MATCH(12, 'Vehicle Register'!$Y$5:$Y$500, 0)), "")</f>
        <v/>
      </c>
      <c r="K16" s="19" t="str">
        <f aca="false">IFERROR(INDEX('Vehicle Register'!$K$5:$K$500, MATCH(12, 'Vehicle Register'!$Y$5:$Y$500, 0)), "")</f>
        <v/>
      </c>
      <c r="L16" s="20" t="str">
        <f aca="false">IFERROR(INDEX('Vehicle Register'!$L$5:$L$500, MATCH(12, 'Vehicle Register'!$Y$5:$Y$500, 0)), "")</f>
        <v/>
      </c>
      <c r="M16" s="20" t="str">
        <f aca="false">IFERROR(INDEX('Vehicle Register'!$M$5:$M$500, MATCH(12, 'Vehicle Register'!$Y$5:$Y$500, 0)), "")</f>
        <v/>
      </c>
      <c r="N16" s="20" t="str">
        <f aca="false">IFERROR(INDEX('Vehicle Register'!$N$5:$N$500, MATCH(12, 'Vehicle Register'!$Y$5:$Y$500, 0)), "")</f>
        <v/>
      </c>
      <c r="O16" s="18" t="str">
        <f aca="false">IFERROR(INDEX('Vehicle Register'!$O$5:$O$500, MATCH(12, 'Vehicle Register'!$Y$5:$Y$500, 0)), "")</f>
        <v/>
      </c>
      <c r="P16" s="18" t="str">
        <f aca="false">IFERROR(INDEX('Vehicle Register'!$P$5:$P$500, MATCH(12, 'Vehicle Register'!$Y$5:$Y$500, 0)), "")</f>
        <v/>
      </c>
      <c r="Q16" s="20" t="str">
        <f aca="false">IFERROR(INDEX('Vehicle Register'!$Q$5:$Q$500, MATCH(12, 'Vehicle Register'!$Y$5:$Y$500, 0)), "")</f>
        <v/>
      </c>
      <c r="R16" s="19" t="str">
        <f aca="false">IFERROR(INDEX('Vehicle Register'!$R$5:$R$500, MATCH(12, 'Vehicle Register'!$Y$5:$Y$500, 0)), "")</f>
        <v/>
      </c>
      <c r="S16" s="20" t="str">
        <f aca="false">IFERROR(INDEX('Vehicle Register'!$S$5:$S$500, MATCH(12, 'Vehicle Register'!$Y$5:$Y$500, 0)), "")</f>
        <v/>
      </c>
      <c r="T16" s="18" t="str">
        <f aca="false">IFERROR(INDEX('Vehicle Register'!$T$5:$T$500, MATCH(12, 'Vehicle Register'!$Y$5:$Y$500, 0)), "")</f>
        <v/>
      </c>
      <c r="U16" s="20" t="str">
        <f aca="false">IFERROR(INDEX('Vehicle Register'!$U$5:$U$500, MATCH(12, 'Vehicle Register'!$Y$5:$Y$500, 0)), "")</f>
        <v/>
      </c>
      <c r="V16" s="21" t="str">
        <f aca="false">IFERROR(INDEX('Vehicle Register'!$V$5:$V$500, MATCH(12, 'Vehicle Register'!$Y$5:$Y$500, 0)), "")</f>
        <v/>
      </c>
      <c r="W16" s="22" t="str">
        <f aca="false">IFERROR(INDEX('Vehicle Register'!$W$5:$W$500, MATCH(12, 'Vehicle Register'!$Y$5:$Y$500, 0)), "")</f>
        <v/>
      </c>
    </row>
    <row r="17" customFormat="false" ht="15" hidden="false" customHeight="false" outlineLevel="0" collapsed="false">
      <c r="A17" s="18" t="str">
        <f aca="false">IFERROR(INDEX('Vehicle Register'!$A$5:$A$500, MATCH(13, 'Vehicle Register'!$Y$5:$Y$500, 0)), "")</f>
        <v/>
      </c>
      <c r="B17" s="18" t="str">
        <f aca="false">IFERROR(INDEX('Vehicle Register'!$B$5:$B$500, MATCH(13, 'Vehicle Register'!$Y$5:$Y$500, 0)), "")</f>
        <v/>
      </c>
      <c r="C17" s="18" t="str">
        <f aca="false">IFERROR(INDEX('Vehicle Register'!$C$5:$C$500, MATCH(13, 'Vehicle Register'!$Y$5:$Y$500, 0)), "")</f>
        <v/>
      </c>
      <c r="D17" s="18" t="str">
        <f aca="false">IFERROR(INDEX('Vehicle Register'!$D$5:$D$500, MATCH(13, 'Vehicle Register'!$Y$5:$Y$500, 0)), "")</f>
        <v/>
      </c>
      <c r="E17" s="18" t="str">
        <f aca="false">IFERROR(INDEX('Vehicle Register'!$E$5:$E$500, MATCH(13, 'Vehicle Register'!$Y$5:$Y$500, 0)), "")</f>
        <v/>
      </c>
      <c r="F17" s="18" t="str">
        <f aca="false">IFERROR(INDEX('Vehicle Register'!$F$5:$F$500, MATCH(13, 'Vehicle Register'!$Y$5:$Y$500, 0)), "")</f>
        <v/>
      </c>
      <c r="G17" s="18" t="str">
        <f aca="false">IFERROR(INDEX('Vehicle Register'!$G$5:$G$500, MATCH(13, 'Vehicle Register'!$Y$5:$Y$500, 0)), "")</f>
        <v/>
      </c>
      <c r="H17" s="18" t="str">
        <f aca="false">IFERROR(INDEX('Vehicle Register'!$H$5:$H$500, MATCH(13, 'Vehicle Register'!$Y$5:$Y$500, 0)), "")</f>
        <v/>
      </c>
      <c r="I17" s="18" t="str">
        <f aca="false">IFERROR(INDEX('Vehicle Register'!$I$5:$I$500, MATCH(13, 'Vehicle Register'!$Y$5:$Y$500, 0)), "")</f>
        <v/>
      </c>
      <c r="J17" s="18" t="str">
        <f aca="false">IFERROR(INDEX('Vehicle Register'!$J$5:$J$500, MATCH(13, 'Vehicle Register'!$Y$5:$Y$500, 0)), "")</f>
        <v/>
      </c>
      <c r="K17" s="19" t="str">
        <f aca="false">IFERROR(INDEX('Vehicle Register'!$K$5:$K$500, MATCH(13, 'Vehicle Register'!$Y$5:$Y$500, 0)), "")</f>
        <v/>
      </c>
      <c r="L17" s="20" t="str">
        <f aca="false">IFERROR(INDEX('Vehicle Register'!$L$5:$L$500, MATCH(13, 'Vehicle Register'!$Y$5:$Y$500, 0)), "")</f>
        <v/>
      </c>
      <c r="M17" s="20" t="str">
        <f aca="false">IFERROR(INDEX('Vehicle Register'!$M$5:$M$500, MATCH(13, 'Vehicle Register'!$Y$5:$Y$500, 0)), "")</f>
        <v/>
      </c>
      <c r="N17" s="20" t="str">
        <f aca="false">IFERROR(INDEX('Vehicle Register'!$N$5:$N$500, MATCH(13, 'Vehicle Register'!$Y$5:$Y$500, 0)), "")</f>
        <v/>
      </c>
      <c r="O17" s="18" t="str">
        <f aca="false">IFERROR(INDEX('Vehicle Register'!$O$5:$O$500, MATCH(13, 'Vehicle Register'!$Y$5:$Y$500, 0)), "")</f>
        <v/>
      </c>
      <c r="P17" s="18" t="str">
        <f aca="false">IFERROR(INDEX('Vehicle Register'!$P$5:$P$500, MATCH(13, 'Vehicle Register'!$Y$5:$Y$500, 0)), "")</f>
        <v/>
      </c>
      <c r="Q17" s="20" t="str">
        <f aca="false">IFERROR(INDEX('Vehicle Register'!$Q$5:$Q$500, MATCH(13, 'Vehicle Register'!$Y$5:$Y$500, 0)), "")</f>
        <v/>
      </c>
      <c r="R17" s="19" t="str">
        <f aca="false">IFERROR(INDEX('Vehicle Register'!$R$5:$R$500, MATCH(13, 'Vehicle Register'!$Y$5:$Y$500, 0)), "")</f>
        <v/>
      </c>
      <c r="S17" s="20" t="str">
        <f aca="false">IFERROR(INDEX('Vehicle Register'!$S$5:$S$500, MATCH(13, 'Vehicle Register'!$Y$5:$Y$500, 0)), "")</f>
        <v/>
      </c>
      <c r="T17" s="18" t="str">
        <f aca="false">IFERROR(INDEX('Vehicle Register'!$T$5:$T$500, MATCH(13, 'Vehicle Register'!$Y$5:$Y$500, 0)), "")</f>
        <v/>
      </c>
      <c r="U17" s="20" t="str">
        <f aca="false">IFERROR(INDEX('Vehicle Register'!$U$5:$U$500, MATCH(13, 'Vehicle Register'!$Y$5:$Y$500, 0)), "")</f>
        <v/>
      </c>
      <c r="V17" s="21" t="str">
        <f aca="false">IFERROR(INDEX('Vehicle Register'!$V$5:$V$500, MATCH(13, 'Vehicle Register'!$Y$5:$Y$500, 0)), "")</f>
        <v/>
      </c>
      <c r="W17" s="22" t="str">
        <f aca="false">IFERROR(INDEX('Vehicle Register'!$W$5:$W$500, MATCH(13, 'Vehicle Register'!$Y$5:$Y$500, 0)), "")</f>
        <v/>
      </c>
    </row>
    <row r="18" customFormat="false" ht="15" hidden="false" customHeight="false" outlineLevel="0" collapsed="false">
      <c r="A18" s="18" t="str">
        <f aca="false">IFERROR(INDEX('Vehicle Register'!$A$5:$A$500, MATCH(14, 'Vehicle Register'!$Y$5:$Y$500, 0)), "")</f>
        <v/>
      </c>
      <c r="B18" s="18" t="str">
        <f aca="false">IFERROR(INDEX('Vehicle Register'!$B$5:$B$500, MATCH(14, 'Vehicle Register'!$Y$5:$Y$500, 0)), "")</f>
        <v/>
      </c>
      <c r="C18" s="18" t="str">
        <f aca="false">IFERROR(INDEX('Vehicle Register'!$C$5:$C$500, MATCH(14, 'Vehicle Register'!$Y$5:$Y$500, 0)), "")</f>
        <v/>
      </c>
      <c r="D18" s="18" t="str">
        <f aca="false">IFERROR(INDEX('Vehicle Register'!$D$5:$D$500, MATCH(14, 'Vehicle Register'!$Y$5:$Y$500, 0)), "")</f>
        <v/>
      </c>
      <c r="E18" s="18" t="str">
        <f aca="false">IFERROR(INDEX('Vehicle Register'!$E$5:$E$500, MATCH(14, 'Vehicle Register'!$Y$5:$Y$500, 0)), "")</f>
        <v/>
      </c>
      <c r="F18" s="18" t="str">
        <f aca="false">IFERROR(INDEX('Vehicle Register'!$F$5:$F$500, MATCH(14, 'Vehicle Register'!$Y$5:$Y$500, 0)), "")</f>
        <v/>
      </c>
      <c r="G18" s="18" t="str">
        <f aca="false">IFERROR(INDEX('Vehicle Register'!$G$5:$G$500, MATCH(14, 'Vehicle Register'!$Y$5:$Y$500, 0)), "")</f>
        <v/>
      </c>
      <c r="H18" s="18" t="str">
        <f aca="false">IFERROR(INDEX('Vehicle Register'!$H$5:$H$500, MATCH(14, 'Vehicle Register'!$Y$5:$Y$500, 0)), "")</f>
        <v/>
      </c>
      <c r="I18" s="18" t="str">
        <f aca="false">IFERROR(INDEX('Vehicle Register'!$I$5:$I$500, MATCH(14, 'Vehicle Register'!$Y$5:$Y$500, 0)), "")</f>
        <v/>
      </c>
      <c r="J18" s="18" t="str">
        <f aca="false">IFERROR(INDEX('Vehicle Register'!$J$5:$J$500, MATCH(14, 'Vehicle Register'!$Y$5:$Y$500, 0)), "")</f>
        <v/>
      </c>
      <c r="K18" s="19" t="str">
        <f aca="false">IFERROR(INDEX('Vehicle Register'!$K$5:$K$500, MATCH(14, 'Vehicle Register'!$Y$5:$Y$500, 0)), "")</f>
        <v/>
      </c>
      <c r="L18" s="20" t="str">
        <f aca="false">IFERROR(INDEX('Vehicle Register'!$L$5:$L$500, MATCH(14, 'Vehicle Register'!$Y$5:$Y$500, 0)), "")</f>
        <v/>
      </c>
      <c r="M18" s="20" t="str">
        <f aca="false">IFERROR(INDEX('Vehicle Register'!$M$5:$M$500, MATCH(14, 'Vehicle Register'!$Y$5:$Y$500, 0)), "")</f>
        <v/>
      </c>
      <c r="N18" s="20" t="str">
        <f aca="false">IFERROR(INDEX('Vehicle Register'!$N$5:$N$500, MATCH(14, 'Vehicle Register'!$Y$5:$Y$500, 0)), "")</f>
        <v/>
      </c>
      <c r="O18" s="18" t="str">
        <f aca="false">IFERROR(INDEX('Vehicle Register'!$O$5:$O$500, MATCH(14, 'Vehicle Register'!$Y$5:$Y$500, 0)), "")</f>
        <v/>
      </c>
      <c r="P18" s="18" t="str">
        <f aca="false">IFERROR(INDEX('Vehicle Register'!$P$5:$P$500, MATCH(14, 'Vehicle Register'!$Y$5:$Y$500, 0)), "")</f>
        <v/>
      </c>
      <c r="Q18" s="20" t="str">
        <f aca="false">IFERROR(INDEX('Vehicle Register'!$Q$5:$Q$500, MATCH(14, 'Vehicle Register'!$Y$5:$Y$500, 0)), "")</f>
        <v/>
      </c>
      <c r="R18" s="19" t="str">
        <f aca="false">IFERROR(INDEX('Vehicle Register'!$R$5:$R$500, MATCH(14, 'Vehicle Register'!$Y$5:$Y$500, 0)), "")</f>
        <v/>
      </c>
      <c r="S18" s="20" t="str">
        <f aca="false">IFERROR(INDEX('Vehicle Register'!$S$5:$S$500, MATCH(14, 'Vehicle Register'!$Y$5:$Y$500, 0)), "")</f>
        <v/>
      </c>
      <c r="T18" s="18" t="str">
        <f aca="false">IFERROR(INDEX('Vehicle Register'!$T$5:$T$500, MATCH(14, 'Vehicle Register'!$Y$5:$Y$500, 0)), "")</f>
        <v/>
      </c>
      <c r="U18" s="20" t="str">
        <f aca="false">IFERROR(INDEX('Vehicle Register'!$U$5:$U$500, MATCH(14, 'Vehicle Register'!$Y$5:$Y$500, 0)), "")</f>
        <v/>
      </c>
      <c r="V18" s="21" t="str">
        <f aca="false">IFERROR(INDEX('Vehicle Register'!$V$5:$V$500, MATCH(14, 'Vehicle Register'!$Y$5:$Y$500, 0)), "")</f>
        <v/>
      </c>
      <c r="W18" s="22" t="str">
        <f aca="false">IFERROR(INDEX('Vehicle Register'!$W$5:$W$500, MATCH(14, 'Vehicle Register'!$Y$5:$Y$500, 0)), "")</f>
        <v/>
      </c>
    </row>
    <row r="19" customFormat="false" ht="15" hidden="false" customHeight="false" outlineLevel="0" collapsed="false">
      <c r="A19" s="18" t="str">
        <f aca="false">IFERROR(INDEX('Vehicle Register'!$A$5:$A$500, MATCH(15, 'Vehicle Register'!$Y$5:$Y$500, 0)), "")</f>
        <v/>
      </c>
      <c r="B19" s="18" t="str">
        <f aca="false">IFERROR(INDEX('Vehicle Register'!$B$5:$B$500, MATCH(15, 'Vehicle Register'!$Y$5:$Y$500, 0)), "")</f>
        <v/>
      </c>
      <c r="C19" s="18" t="str">
        <f aca="false">IFERROR(INDEX('Vehicle Register'!$C$5:$C$500, MATCH(15, 'Vehicle Register'!$Y$5:$Y$500, 0)), "")</f>
        <v/>
      </c>
      <c r="D19" s="18" t="str">
        <f aca="false">IFERROR(INDEX('Vehicle Register'!$D$5:$D$500, MATCH(15, 'Vehicle Register'!$Y$5:$Y$500, 0)), "")</f>
        <v/>
      </c>
      <c r="E19" s="18" t="str">
        <f aca="false">IFERROR(INDEX('Vehicle Register'!$E$5:$E$500, MATCH(15, 'Vehicle Register'!$Y$5:$Y$500, 0)), "")</f>
        <v/>
      </c>
      <c r="F19" s="18" t="str">
        <f aca="false">IFERROR(INDEX('Vehicle Register'!$F$5:$F$500, MATCH(15, 'Vehicle Register'!$Y$5:$Y$500, 0)), "")</f>
        <v/>
      </c>
      <c r="G19" s="18" t="str">
        <f aca="false">IFERROR(INDEX('Vehicle Register'!$G$5:$G$500, MATCH(15, 'Vehicle Register'!$Y$5:$Y$500, 0)), "")</f>
        <v/>
      </c>
      <c r="H19" s="18" t="str">
        <f aca="false">IFERROR(INDEX('Vehicle Register'!$H$5:$H$500, MATCH(15, 'Vehicle Register'!$Y$5:$Y$500, 0)), "")</f>
        <v/>
      </c>
      <c r="I19" s="18" t="str">
        <f aca="false">IFERROR(INDEX('Vehicle Register'!$I$5:$I$500, MATCH(15, 'Vehicle Register'!$Y$5:$Y$500, 0)), "")</f>
        <v/>
      </c>
      <c r="J19" s="18" t="str">
        <f aca="false">IFERROR(INDEX('Vehicle Register'!$J$5:$J$500, MATCH(15, 'Vehicle Register'!$Y$5:$Y$500, 0)), "")</f>
        <v/>
      </c>
      <c r="K19" s="19" t="str">
        <f aca="false">IFERROR(INDEX('Vehicle Register'!$K$5:$K$500, MATCH(15, 'Vehicle Register'!$Y$5:$Y$500, 0)), "")</f>
        <v/>
      </c>
      <c r="L19" s="20" t="str">
        <f aca="false">IFERROR(INDEX('Vehicle Register'!$L$5:$L$500, MATCH(15, 'Vehicle Register'!$Y$5:$Y$500, 0)), "")</f>
        <v/>
      </c>
      <c r="M19" s="20" t="str">
        <f aca="false">IFERROR(INDEX('Vehicle Register'!$M$5:$M$500, MATCH(15, 'Vehicle Register'!$Y$5:$Y$500, 0)), "")</f>
        <v/>
      </c>
      <c r="N19" s="20" t="str">
        <f aca="false">IFERROR(INDEX('Vehicle Register'!$N$5:$N$500, MATCH(15, 'Vehicle Register'!$Y$5:$Y$500, 0)), "")</f>
        <v/>
      </c>
      <c r="O19" s="18" t="str">
        <f aca="false">IFERROR(INDEX('Vehicle Register'!$O$5:$O$500, MATCH(15, 'Vehicle Register'!$Y$5:$Y$500, 0)), "")</f>
        <v/>
      </c>
      <c r="P19" s="18" t="str">
        <f aca="false">IFERROR(INDEX('Vehicle Register'!$P$5:$P$500, MATCH(15, 'Vehicle Register'!$Y$5:$Y$500, 0)), "")</f>
        <v/>
      </c>
      <c r="Q19" s="20" t="str">
        <f aca="false">IFERROR(INDEX('Vehicle Register'!$Q$5:$Q$500, MATCH(15, 'Vehicle Register'!$Y$5:$Y$500, 0)), "")</f>
        <v/>
      </c>
      <c r="R19" s="19" t="str">
        <f aca="false">IFERROR(INDEX('Vehicle Register'!$R$5:$R$500, MATCH(15, 'Vehicle Register'!$Y$5:$Y$500, 0)), "")</f>
        <v/>
      </c>
      <c r="S19" s="20" t="str">
        <f aca="false">IFERROR(INDEX('Vehicle Register'!$S$5:$S$500, MATCH(15, 'Vehicle Register'!$Y$5:$Y$500, 0)), "")</f>
        <v/>
      </c>
      <c r="T19" s="18" t="str">
        <f aca="false">IFERROR(INDEX('Vehicle Register'!$T$5:$T$500, MATCH(15, 'Vehicle Register'!$Y$5:$Y$500, 0)), "")</f>
        <v/>
      </c>
      <c r="U19" s="20" t="str">
        <f aca="false">IFERROR(INDEX('Vehicle Register'!$U$5:$U$500, MATCH(15, 'Vehicle Register'!$Y$5:$Y$500, 0)), "")</f>
        <v/>
      </c>
      <c r="V19" s="21" t="str">
        <f aca="false">IFERROR(INDEX('Vehicle Register'!$V$5:$V$500, MATCH(15, 'Vehicle Register'!$Y$5:$Y$500, 0)), "")</f>
        <v/>
      </c>
      <c r="W19" s="22" t="str">
        <f aca="false">IFERROR(INDEX('Vehicle Register'!$W$5:$W$500, MATCH(15, 'Vehicle Register'!$Y$5:$Y$500, 0)), "")</f>
        <v/>
      </c>
    </row>
    <row r="20" customFormat="false" ht="15" hidden="false" customHeight="false" outlineLevel="0" collapsed="false">
      <c r="A20" s="18" t="str">
        <f aca="false">IFERROR(INDEX('Vehicle Register'!$A$5:$A$500, MATCH(16, 'Vehicle Register'!$Y$5:$Y$500, 0)), "")</f>
        <v/>
      </c>
      <c r="B20" s="18" t="str">
        <f aca="false">IFERROR(INDEX('Vehicle Register'!$B$5:$B$500, MATCH(16, 'Vehicle Register'!$Y$5:$Y$500, 0)), "")</f>
        <v/>
      </c>
      <c r="C20" s="18" t="str">
        <f aca="false">IFERROR(INDEX('Vehicle Register'!$C$5:$C$500, MATCH(16, 'Vehicle Register'!$Y$5:$Y$500, 0)), "")</f>
        <v/>
      </c>
      <c r="D20" s="18" t="str">
        <f aca="false">IFERROR(INDEX('Vehicle Register'!$D$5:$D$500, MATCH(16, 'Vehicle Register'!$Y$5:$Y$500, 0)), "")</f>
        <v/>
      </c>
      <c r="E20" s="18" t="str">
        <f aca="false">IFERROR(INDEX('Vehicle Register'!$E$5:$E$500, MATCH(16, 'Vehicle Register'!$Y$5:$Y$500, 0)), "")</f>
        <v/>
      </c>
      <c r="F20" s="18" t="str">
        <f aca="false">IFERROR(INDEX('Vehicle Register'!$F$5:$F$500, MATCH(16, 'Vehicle Register'!$Y$5:$Y$500, 0)), "")</f>
        <v/>
      </c>
      <c r="G20" s="18" t="str">
        <f aca="false">IFERROR(INDEX('Vehicle Register'!$G$5:$G$500, MATCH(16, 'Vehicle Register'!$Y$5:$Y$500, 0)), "")</f>
        <v/>
      </c>
      <c r="H20" s="18" t="str">
        <f aca="false">IFERROR(INDEX('Vehicle Register'!$H$5:$H$500, MATCH(16, 'Vehicle Register'!$Y$5:$Y$500, 0)), "")</f>
        <v/>
      </c>
      <c r="I20" s="18" t="str">
        <f aca="false">IFERROR(INDEX('Vehicle Register'!$I$5:$I$500, MATCH(16, 'Vehicle Register'!$Y$5:$Y$500, 0)), "")</f>
        <v/>
      </c>
      <c r="J20" s="18" t="str">
        <f aca="false">IFERROR(INDEX('Vehicle Register'!$J$5:$J$500, MATCH(16, 'Vehicle Register'!$Y$5:$Y$500, 0)), "")</f>
        <v/>
      </c>
      <c r="K20" s="19" t="str">
        <f aca="false">IFERROR(INDEX('Vehicle Register'!$K$5:$K$500, MATCH(16, 'Vehicle Register'!$Y$5:$Y$500, 0)), "")</f>
        <v/>
      </c>
      <c r="L20" s="20" t="str">
        <f aca="false">IFERROR(INDEX('Vehicle Register'!$L$5:$L$500, MATCH(16, 'Vehicle Register'!$Y$5:$Y$500, 0)), "")</f>
        <v/>
      </c>
      <c r="M20" s="20" t="str">
        <f aca="false">IFERROR(INDEX('Vehicle Register'!$M$5:$M$500, MATCH(16, 'Vehicle Register'!$Y$5:$Y$500, 0)), "")</f>
        <v/>
      </c>
      <c r="N20" s="20" t="str">
        <f aca="false">IFERROR(INDEX('Vehicle Register'!$N$5:$N$500, MATCH(16, 'Vehicle Register'!$Y$5:$Y$500, 0)), "")</f>
        <v/>
      </c>
      <c r="O20" s="18" t="str">
        <f aca="false">IFERROR(INDEX('Vehicle Register'!$O$5:$O$500, MATCH(16, 'Vehicle Register'!$Y$5:$Y$500, 0)), "")</f>
        <v/>
      </c>
      <c r="P20" s="18" t="str">
        <f aca="false">IFERROR(INDEX('Vehicle Register'!$P$5:$P$500, MATCH(16, 'Vehicle Register'!$Y$5:$Y$500, 0)), "")</f>
        <v/>
      </c>
      <c r="Q20" s="20" t="str">
        <f aca="false">IFERROR(INDEX('Vehicle Register'!$Q$5:$Q$500, MATCH(16, 'Vehicle Register'!$Y$5:$Y$500, 0)), "")</f>
        <v/>
      </c>
      <c r="R20" s="19" t="str">
        <f aca="false">IFERROR(INDEX('Vehicle Register'!$R$5:$R$500, MATCH(16, 'Vehicle Register'!$Y$5:$Y$500, 0)), "")</f>
        <v/>
      </c>
      <c r="S20" s="20" t="str">
        <f aca="false">IFERROR(INDEX('Vehicle Register'!$S$5:$S$500, MATCH(16, 'Vehicle Register'!$Y$5:$Y$500, 0)), "")</f>
        <v/>
      </c>
      <c r="T20" s="18" t="str">
        <f aca="false">IFERROR(INDEX('Vehicle Register'!$T$5:$T$500, MATCH(16, 'Vehicle Register'!$Y$5:$Y$500, 0)), "")</f>
        <v/>
      </c>
      <c r="U20" s="20" t="str">
        <f aca="false">IFERROR(INDEX('Vehicle Register'!$U$5:$U$500, MATCH(16, 'Vehicle Register'!$Y$5:$Y$500, 0)), "")</f>
        <v/>
      </c>
      <c r="V20" s="21" t="str">
        <f aca="false">IFERROR(INDEX('Vehicle Register'!$V$5:$V$500, MATCH(16, 'Vehicle Register'!$Y$5:$Y$500, 0)), "")</f>
        <v/>
      </c>
      <c r="W20" s="22" t="str">
        <f aca="false">IFERROR(INDEX('Vehicle Register'!$W$5:$W$500, MATCH(16, 'Vehicle Register'!$Y$5:$Y$500, 0)), "")</f>
        <v/>
      </c>
    </row>
    <row r="21" customFormat="false" ht="15" hidden="false" customHeight="false" outlineLevel="0" collapsed="false">
      <c r="A21" s="18" t="str">
        <f aca="false">IFERROR(INDEX('Vehicle Register'!$A$5:$A$500, MATCH(17, 'Vehicle Register'!$Y$5:$Y$500, 0)), "")</f>
        <v/>
      </c>
      <c r="B21" s="18" t="str">
        <f aca="false">IFERROR(INDEX('Vehicle Register'!$B$5:$B$500, MATCH(17, 'Vehicle Register'!$Y$5:$Y$500, 0)), "")</f>
        <v/>
      </c>
      <c r="C21" s="18" t="str">
        <f aca="false">IFERROR(INDEX('Vehicle Register'!$C$5:$C$500, MATCH(17, 'Vehicle Register'!$Y$5:$Y$500, 0)), "")</f>
        <v/>
      </c>
      <c r="D21" s="18" t="str">
        <f aca="false">IFERROR(INDEX('Vehicle Register'!$D$5:$D$500, MATCH(17, 'Vehicle Register'!$Y$5:$Y$500, 0)), "")</f>
        <v/>
      </c>
      <c r="E21" s="18" t="str">
        <f aca="false">IFERROR(INDEX('Vehicle Register'!$E$5:$E$500, MATCH(17, 'Vehicle Register'!$Y$5:$Y$500, 0)), "")</f>
        <v/>
      </c>
      <c r="F21" s="18" t="str">
        <f aca="false">IFERROR(INDEX('Vehicle Register'!$F$5:$F$500, MATCH(17, 'Vehicle Register'!$Y$5:$Y$500, 0)), "")</f>
        <v/>
      </c>
      <c r="G21" s="18" t="str">
        <f aca="false">IFERROR(INDEX('Vehicle Register'!$G$5:$G$500, MATCH(17, 'Vehicle Register'!$Y$5:$Y$500, 0)), "")</f>
        <v/>
      </c>
      <c r="H21" s="18" t="str">
        <f aca="false">IFERROR(INDEX('Vehicle Register'!$H$5:$H$500, MATCH(17, 'Vehicle Register'!$Y$5:$Y$500, 0)), "")</f>
        <v/>
      </c>
      <c r="I21" s="18" t="str">
        <f aca="false">IFERROR(INDEX('Vehicle Register'!$I$5:$I$500, MATCH(17, 'Vehicle Register'!$Y$5:$Y$500, 0)), "")</f>
        <v/>
      </c>
      <c r="J21" s="18" t="str">
        <f aca="false">IFERROR(INDEX('Vehicle Register'!$J$5:$J$500, MATCH(17, 'Vehicle Register'!$Y$5:$Y$500, 0)), "")</f>
        <v/>
      </c>
      <c r="K21" s="19" t="str">
        <f aca="false">IFERROR(INDEX('Vehicle Register'!$K$5:$K$500, MATCH(17, 'Vehicle Register'!$Y$5:$Y$500, 0)), "")</f>
        <v/>
      </c>
      <c r="L21" s="20" t="str">
        <f aca="false">IFERROR(INDEX('Vehicle Register'!$L$5:$L$500, MATCH(17, 'Vehicle Register'!$Y$5:$Y$500, 0)), "")</f>
        <v/>
      </c>
      <c r="M21" s="20" t="str">
        <f aca="false">IFERROR(INDEX('Vehicle Register'!$M$5:$M$500, MATCH(17, 'Vehicle Register'!$Y$5:$Y$500, 0)), "")</f>
        <v/>
      </c>
      <c r="N21" s="20" t="str">
        <f aca="false">IFERROR(INDEX('Vehicle Register'!$N$5:$N$500, MATCH(17, 'Vehicle Register'!$Y$5:$Y$500, 0)), "")</f>
        <v/>
      </c>
      <c r="O21" s="18" t="str">
        <f aca="false">IFERROR(INDEX('Vehicle Register'!$O$5:$O$500, MATCH(17, 'Vehicle Register'!$Y$5:$Y$500, 0)), "")</f>
        <v/>
      </c>
      <c r="P21" s="18" t="str">
        <f aca="false">IFERROR(INDEX('Vehicle Register'!$P$5:$P$500, MATCH(17, 'Vehicle Register'!$Y$5:$Y$500, 0)), "")</f>
        <v/>
      </c>
      <c r="Q21" s="20" t="str">
        <f aca="false">IFERROR(INDEX('Vehicle Register'!$Q$5:$Q$500, MATCH(17, 'Vehicle Register'!$Y$5:$Y$500, 0)), "")</f>
        <v/>
      </c>
      <c r="R21" s="19" t="str">
        <f aca="false">IFERROR(INDEX('Vehicle Register'!$R$5:$R$500, MATCH(17, 'Vehicle Register'!$Y$5:$Y$500, 0)), "")</f>
        <v/>
      </c>
      <c r="S21" s="20" t="str">
        <f aca="false">IFERROR(INDEX('Vehicle Register'!$S$5:$S$500, MATCH(17, 'Vehicle Register'!$Y$5:$Y$500, 0)), "")</f>
        <v/>
      </c>
      <c r="T21" s="18" t="str">
        <f aca="false">IFERROR(INDEX('Vehicle Register'!$T$5:$T$500, MATCH(17, 'Vehicle Register'!$Y$5:$Y$500, 0)), "")</f>
        <v/>
      </c>
      <c r="U21" s="20" t="str">
        <f aca="false">IFERROR(INDEX('Vehicle Register'!$U$5:$U$500, MATCH(17, 'Vehicle Register'!$Y$5:$Y$500, 0)), "")</f>
        <v/>
      </c>
      <c r="V21" s="21" t="str">
        <f aca="false">IFERROR(INDEX('Vehicle Register'!$V$5:$V$500, MATCH(17, 'Vehicle Register'!$Y$5:$Y$500, 0)), "")</f>
        <v/>
      </c>
      <c r="W21" s="22" t="str">
        <f aca="false">IFERROR(INDEX('Vehicle Register'!$W$5:$W$500, MATCH(17, 'Vehicle Register'!$Y$5:$Y$500, 0)), "")</f>
        <v/>
      </c>
    </row>
    <row r="22" customFormat="false" ht="15" hidden="false" customHeight="false" outlineLevel="0" collapsed="false">
      <c r="A22" s="18" t="str">
        <f aca="false">IFERROR(INDEX('Vehicle Register'!$A$5:$A$500, MATCH(18, 'Vehicle Register'!$Y$5:$Y$500, 0)), "")</f>
        <v/>
      </c>
      <c r="B22" s="18" t="str">
        <f aca="false">IFERROR(INDEX('Vehicle Register'!$B$5:$B$500, MATCH(18, 'Vehicle Register'!$Y$5:$Y$500, 0)), "")</f>
        <v/>
      </c>
      <c r="C22" s="18" t="str">
        <f aca="false">IFERROR(INDEX('Vehicle Register'!$C$5:$C$500, MATCH(18, 'Vehicle Register'!$Y$5:$Y$500, 0)), "")</f>
        <v/>
      </c>
      <c r="D22" s="18" t="str">
        <f aca="false">IFERROR(INDEX('Vehicle Register'!$D$5:$D$500, MATCH(18, 'Vehicle Register'!$Y$5:$Y$500, 0)), "")</f>
        <v/>
      </c>
      <c r="E22" s="18" t="str">
        <f aca="false">IFERROR(INDEX('Vehicle Register'!$E$5:$E$500, MATCH(18, 'Vehicle Register'!$Y$5:$Y$500, 0)), "")</f>
        <v/>
      </c>
      <c r="F22" s="18" t="str">
        <f aca="false">IFERROR(INDEX('Vehicle Register'!$F$5:$F$500, MATCH(18, 'Vehicle Register'!$Y$5:$Y$500, 0)), "")</f>
        <v/>
      </c>
      <c r="G22" s="18" t="str">
        <f aca="false">IFERROR(INDEX('Vehicle Register'!$G$5:$G$500, MATCH(18, 'Vehicle Register'!$Y$5:$Y$500, 0)), "")</f>
        <v/>
      </c>
      <c r="H22" s="18" t="str">
        <f aca="false">IFERROR(INDEX('Vehicle Register'!$H$5:$H$500, MATCH(18, 'Vehicle Register'!$Y$5:$Y$500, 0)), "")</f>
        <v/>
      </c>
      <c r="I22" s="18" t="str">
        <f aca="false">IFERROR(INDEX('Vehicle Register'!$I$5:$I$500, MATCH(18, 'Vehicle Register'!$Y$5:$Y$500, 0)), "")</f>
        <v/>
      </c>
      <c r="J22" s="18" t="str">
        <f aca="false">IFERROR(INDEX('Vehicle Register'!$J$5:$J$500, MATCH(18, 'Vehicle Register'!$Y$5:$Y$500, 0)), "")</f>
        <v/>
      </c>
      <c r="K22" s="19" t="str">
        <f aca="false">IFERROR(INDEX('Vehicle Register'!$K$5:$K$500, MATCH(18, 'Vehicle Register'!$Y$5:$Y$500, 0)), "")</f>
        <v/>
      </c>
      <c r="L22" s="20" t="str">
        <f aca="false">IFERROR(INDEX('Vehicle Register'!$L$5:$L$500, MATCH(18, 'Vehicle Register'!$Y$5:$Y$500, 0)), "")</f>
        <v/>
      </c>
      <c r="M22" s="20" t="str">
        <f aca="false">IFERROR(INDEX('Vehicle Register'!$M$5:$M$500, MATCH(18, 'Vehicle Register'!$Y$5:$Y$500, 0)), "")</f>
        <v/>
      </c>
      <c r="N22" s="20" t="str">
        <f aca="false">IFERROR(INDEX('Vehicle Register'!$N$5:$N$500, MATCH(18, 'Vehicle Register'!$Y$5:$Y$500, 0)), "")</f>
        <v/>
      </c>
      <c r="O22" s="18" t="str">
        <f aca="false">IFERROR(INDEX('Vehicle Register'!$O$5:$O$500, MATCH(18, 'Vehicle Register'!$Y$5:$Y$500, 0)), "")</f>
        <v/>
      </c>
      <c r="P22" s="18" t="str">
        <f aca="false">IFERROR(INDEX('Vehicle Register'!$P$5:$P$500, MATCH(18, 'Vehicle Register'!$Y$5:$Y$500, 0)), "")</f>
        <v/>
      </c>
      <c r="Q22" s="20" t="str">
        <f aca="false">IFERROR(INDEX('Vehicle Register'!$Q$5:$Q$500, MATCH(18, 'Vehicle Register'!$Y$5:$Y$500, 0)), "")</f>
        <v/>
      </c>
      <c r="R22" s="19" t="str">
        <f aca="false">IFERROR(INDEX('Vehicle Register'!$R$5:$R$500, MATCH(18, 'Vehicle Register'!$Y$5:$Y$500, 0)), "")</f>
        <v/>
      </c>
      <c r="S22" s="20" t="str">
        <f aca="false">IFERROR(INDEX('Vehicle Register'!$S$5:$S$500, MATCH(18, 'Vehicle Register'!$Y$5:$Y$500, 0)), "")</f>
        <v/>
      </c>
      <c r="T22" s="18" t="str">
        <f aca="false">IFERROR(INDEX('Vehicle Register'!$T$5:$T$500, MATCH(18, 'Vehicle Register'!$Y$5:$Y$500, 0)), "")</f>
        <v/>
      </c>
      <c r="U22" s="20" t="str">
        <f aca="false">IFERROR(INDEX('Vehicle Register'!$U$5:$U$500, MATCH(18, 'Vehicle Register'!$Y$5:$Y$500, 0)), "")</f>
        <v/>
      </c>
      <c r="V22" s="21" t="str">
        <f aca="false">IFERROR(INDEX('Vehicle Register'!$V$5:$V$500, MATCH(18, 'Vehicle Register'!$Y$5:$Y$500, 0)), "")</f>
        <v/>
      </c>
      <c r="W22" s="22" t="str">
        <f aca="false">IFERROR(INDEX('Vehicle Register'!$W$5:$W$500, MATCH(18, 'Vehicle Register'!$Y$5:$Y$500, 0)), "")</f>
        <v/>
      </c>
    </row>
    <row r="23" customFormat="false" ht="15" hidden="false" customHeight="false" outlineLevel="0" collapsed="false">
      <c r="A23" s="18" t="str">
        <f aca="false">IFERROR(INDEX('Vehicle Register'!$A$5:$A$500, MATCH(19, 'Vehicle Register'!$Y$5:$Y$500, 0)), "")</f>
        <v/>
      </c>
      <c r="B23" s="18" t="str">
        <f aca="false">IFERROR(INDEX('Vehicle Register'!$B$5:$B$500, MATCH(19, 'Vehicle Register'!$Y$5:$Y$500, 0)), "")</f>
        <v/>
      </c>
      <c r="C23" s="18" t="str">
        <f aca="false">IFERROR(INDEX('Vehicle Register'!$C$5:$C$500, MATCH(19, 'Vehicle Register'!$Y$5:$Y$500, 0)), "")</f>
        <v/>
      </c>
      <c r="D23" s="18" t="str">
        <f aca="false">IFERROR(INDEX('Vehicle Register'!$D$5:$D$500, MATCH(19, 'Vehicle Register'!$Y$5:$Y$500, 0)), "")</f>
        <v/>
      </c>
      <c r="E23" s="18" t="str">
        <f aca="false">IFERROR(INDEX('Vehicle Register'!$E$5:$E$500, MATCH(19, 'Vehicle Register'!$Y$5:$Y$500, 0)), "")</f>
        <v/>
      </c>
      <c r="F23" s="18" t="str">
        <f aca="false">IFERROR(INDEX('Vehicle Register'!$F$5:$F$500, MATCH(19, 'Vehicle Register'!$Y$5:$Y$500, 0)), "")</f>
        <v/>
      </c>
      <c r="G23" s="18" t="str">
        <f aca="false">IFERROR(INDEX('Vehicle Register'!$G$5:$G$500, MATCH(19, 'Vehicle Register'!$Y$5:$Y$500, 0)), "")</f>
        <v/>
      </c>
      <c r="H23" s="18" t="str">
        <f aca="false">IFERROR(INDEX('Vehicle Register'!$H$5:$H$500, MATCH(19, 'Vehicle Register'!$Y$5:$Y$500, 0)), "")</f>
        <v/>
      </c>
      <c r="I23" s="18" t="str">
        <f aca="false">IFERROR(INDEX('Vehicle Register'!$I$5:$I$500, MATCH(19, 'Vehicle Register'!$Y$5:$Y$500, 0)), "")</f>
        <v/>
      </c>
      <c r="J23" s="18" t="str">
        <f aca="false">IFERROR(INDEX('Vehicle Register'!$J$5:$J$500, MATCH(19, 'Vehicle Register'!$Y$5:$Y$500, 0)), "")</f>
        <v/>
      </c>
      <c r="K23" s="19" t="str">
        <f aca="false">IFERROR(INDEX('Vehicle Register'!$K$5:$K$500, MATCH(19, 'Vehicle Register'!$Y$5:$Y$500, 0)), "")</f>
        <v/>
      </c>
      <c r="L23" s="20" t="str">
        <f aca="false">IFERROR(INDEX('Vehicle Register'!$L$5:$L$500, MATCH(19, 'Vehicle Register'!$Y$5:$Y$500, 0)), "")</f>
        <v/>
      </c>
      <c r="M23" s="20" t="str">
        <f aca="false">IFERROR(INDEX('Vehicle Register'!$M$5:$M$500, MATCH(19, 'Vehicle Register'!$Y$5:$Y$500, 0)), "")</f>
        <v/>
      </c>
      <c r="N23" s="20" t="str">
        <f aca="false">IFERROR(INDEX('Vehicle Register'!$N$5:$N$500, MATCH(19, 'Vehicle Register'!$Y$5:$Y$500, 0)), "")</f>
        <v/>
      </c>
      <c r="O23" s="18" t="str">
        <f aca="false">IFERROR(INDEX('Vehicle Register'!$O$5:$O$500, MATCH(19, 'Vehicle Register'!$Y$5:$Y$500, 0)), "")</f>
        <v/>
      </c>
      <c r="P23" s="18" t="str">
        <f aca="false">IFERROR(INDEX('Vehicle Register'!$P$5:$P$500, MATCH(19, 'Vehicle Register'!$Y$5:$Y$500, 0)), "")</f>
        <v/>
      </c>
      <c r="Q23" s="20" t="str">
        <f aca="false">IFERROR(INDEX('Vehicle Register'!$Q$5:$Q$500, MATCH(19, 'Vehicle Register'!$Y$5:$Y$500, 0)), "")</f>
        <v/>
      </c>
      <c r="R23" s="19" t="str">
        <f aca="false">IFERROR(INDEX('Vehicle Register'!$R$5:$R$500, MATCH(19, 'Vehicle Register'!$Y$5:$Y$500, 0)), "")</f>
        <v/>
      </c>
      <c r="S23" s="20" t="str">
        <f aca="false">IFERROR(INDEX('Vehicle Register'!$S$5:$S$500, MATCH(19, 'Vehicle Register'!$Y$5:$Y$500, 0)), "")</f>
        <v/>
      </c>
      <c r="T23" s="18" t="str">
        <f aca="false">IFERROR(INDEX('Vehicle Register'!$T$5:$T$500, MATCH(19, 'Vehicle Register'!$Y$5:$Y$500, 0)), "")</f>
        <v/>
      </c>
      <c r="U23" s="20" t="str">
        <f aca="false">IFERROR(INDEX('Vehicle Register'!$U$5:$U$500, MATCH(19, 'Vehicle Register'!$Y$5:$Y$500, 0)), "")</f>
        <v/>
      </c>
      <c r="V23" s="21" t="str">
        <f aca="false">IFERROR(INDEX('Vehicle Register'!$V$5:$V$500, MATCH(19, 'Vehicle Register'!$Y$5:$Y$500, 0)), "")</f>
        <v/>
      </c>
      <c r="W23" s="22" t="str">
        <f aca="false">IFERROR(INDEX('Vehicle Register'!$W$5:$W$500, MATCH(19, 'Vehicle Register'!$Y$5:$Y$500, 0)), "")</f>
        <v/>
      </c>
    </row>
    <row r="24" customFormat="false" ht="15" hidden="false" customHeight="false" outlineLevel="0" collapsed="false">
      <c r="A24" s="18" t="str">
        <f aca="false">IFERROR(INDEX('Vehicle Register'!$A$5:$A$500, MATCH(20, 'Vehicle Register'!$Y$5:$Y$500, 0)), "")</f>
        <v/>
      </c>
      <c r="B24" s="18" t="str">
        <f aca="false">IFERROR(INDEX('Vehicle Register'!$B$5:$B$500, MATCH(20, 'Vehicle Register'!$Y$5:$Y$500, 0)), "")</f>
        <v/>
      </c>
      <c r="C24" s="18" t="str">
        <f aca="false">IFERROR(INDEX('Vehicle Register'!$C$5:$C$500, MATCH(20, 'Vehicle Register'!$Y$5:$Y$500, 0)), "")</f>
        <v/>
      </c>
      <c r="D24" s="18" t="str">
        <f aca="false">IFERROR(INDEX('Vehicle Register'!$D$5:$D$500, MATCH(20, 'Vehicle Register'!$Y$5:$Y$500, 0)), "")</f>
        <v/>
      </c>
      <c r="E24" s="18" t="str">
        <f aca="false">IFERROR(INDEX('Vehicle Register'!$E$5:$E$500, MATCH(20, 'Vehicle Register'!$Y$5:$Y$500, 0)), "")</f>
        <v/>
      </c>
      <c r="F24" s="18" t="str">
        <f aca="false">IFERROR(INDEX('Vehicle Register'!$F$5:$F$500, MATCH(20, 'Vehicle Register'!$Y$5:$Y$500, 0)), "")</f>
        <v/>
      </c>
      <c r="G24" s="18" t="str">
        <f aca="false">IFERROR(INDEX('Vehicle Register'!$G$5:$G$500, MATCH(20, 'Vehicle Register'!$Y$5:$Y$500, 0)), "")</f>
        <v/>
      </c>
      <c r="H24" s="18" t="str">
        <f aca="false">IFERROR(INDEX('Vehicle Register'!$H$5:$H$500, MATCH(20, 'Vehicle Register'!$Y$5:$Y$500, 0)), "")</f>
        <v/>
      </c>
      <c r="I24" s="18" t="str">
        <f aca="false">IFERROR(INDEX('Vehicle Register'!$I$5:$I$500, MATCH(20, 'Vehicle Register'!$Y$5:$Y$500, 0)), "")</f>
        <v/>
      </c>
      <c r="J24" s="18" t="str">
        <f aca="false">IFERROR(INDEX('Vehicle Register'!$J$5:$J$500, MATCH(20, 'Vehicle Register'!$Y$5:$Y$500, 0)), "")</f>
        <v/>
      </c>
      <c r="K24" s="19" t="str">
        <f aca="false">IFERROR(INDEX('Vehicle Register'!$K$5:$K$500, MATCH(20, 'Vehicle Register'!$Y$5:$Y$500, 0)), "")</f>
        <v/>
      </c>
      <c r="L24" s="20" t="str">
        <f aca="false">IFERROR(INDEX('Vehicle Register'!$L$5:$L$500, MATCH(20, 'Vehicle Register'!$Y$5:$Y$500, 0)), "")</f>
        <v/>
      </c>
      <c r="M24" s="20" t="str">
        <f aca="false">IFERROR(INDEX('Vehicle Register'!$M$5:$M$500, MATCH(20, 'Vehicle Register'!$Y$5:$Y$500, 0)), "")</f>
        <v/>
      </c>
      <c r="N24" s="20" t="str">
        <f aca="false">IFERROR(INDEX('Vehicle Register'!$N$5:$N$500, MATCH(20, 'Vehicle Register'!$Y$5:$Y$500, 0)), "")</f>
        <v/>
      </c>
      <c r="O24" s="18" t="str">
        <f aca="false">IFERROR(INDEX('Vehicle Register'!$O$5:$O$500, MATCH(20, 'Vehicle Register'!$Y$5:$Y$500, 0)), "")</f>
        <v/>
      </c>
      <c r="P24" s="18" t="str">
        <f aca="false">IFERROR(INDEX('Vehicle Register'!$P$5:$P$500, MATCH(20, 'Vehicle Register'!$Y$5:$Y$500, 0)), "")</f>
        <v/>
      </c>
      <c r="Q24" s="20" t="str">
        <f aca="false">IFERROR(INDEX('Vehicle Register'!$Q$5:$Q$500, MATCH(20, 'Vehicle Register'!$Y$5:$Y$500, 0)), "")</f>
        <v/>
      </c>
      <c r="R24" s="19" t="str">
        <f aca="false">IFERROR(INDEX('Vehicle Register'!$R$5:$R$500, MATCH(20, 'Vehicle Register'!$Y$5:$Y$500, 0)), "")</f>
        <v/>
      </c>
      <c r="S24" s="20" t="str">
        <f aca="false">IFERROR(INDEX('Vehicle Register'!$S$5:$S$500, MATCH(20, 'Vehicle Register'!$Y$5:$Y$500, 0)), "")</f>
        <v/>
      </c>
      <c r="T24" s="18" t="str">
        <f aca="false">IFERROR(INDEX('Vehicle Register'!$T$5:$T$500, MATCH(20, 'Vehicle Register'!$Y$5:$Y$500, 0)), "")</f>
        <v/>
      </c>
      <c r="U24" s="20" t="str">
        <f aca="false">IFERROR(INDEX('Vehicle Register'!$U$5:$U$500, MATCH(20, 'Vehicle Register'!$Y$5:$Y$500, 0)), "")</f>
        <v/>
      </c>
      <c r="V24" s="21" t="str">
        <f aca="false">IFERROR(INDEX('Vehicle Register'!$V$5:$V$500, MATCH(20, 'Vehicle Register'!$Y$5:$Y$500, 0)), "")</f>
        <v/>
      </c>
      <c r="W24" s="22" t="str">
        <f aca="false">IFERROR(INDEX('Vehicle Register'!$W$5:$W$500, MATCH(20, 'Vehicle Register'!$Y$5:$Y$500, 0)), "")</f>
        <v/>
      </c>
    </row>
    <row r="25" customFormat="false" ht="15" hidden="false" customHeight="false" outlineLevel="0" collapsed="false">
      <c r="A25" s="18" t="str">
        <f aca="false">IFERROR(INDEX('Vehicle Register'!$A$5:$A$500, MATCH(21, 'Vehicle Register'!$Y$5:$Y$500, 0)), "")</f>
        <v/>
      </c>
      <c r="B25" s="18" t="str">
        <f aca="false">IFERROR(INDEX('Vehicle Register'!$B$5:$B$500, MATCH(21, 'Vehicle Register'!$Y$5:$Y$500, 0)), "")</f>
        <v/>
      </c>
      <c r="C25" s="18" t="str">
        <f aca="false">IFERROR(INDEX('Vehicle Register'!$C$5:$C$500, MATCH(21, 'Vehicle Register'!$Y$5:$Y$500, 0)), "")</f>
        <v/>
      </c>
      <c r="D25" s="18" t="str">
        <f aca="false">IFERROR(INDEX('Vehicle Register'!$D$5:$D$500, MATCH(21, 'Vehicle Register'!$Y$5:$Y$500, 0)), "")</f>
        <v/>
      </c>
      <c r="E25" s="18" t="str">
        <f aca="false">IFERROR(INDEX('Vehicle Register'!$E$5:$E$500, MATCH(21, 'Vehicle Register'!$Y$5:$Y$500, 0)), "")</f>
        <v/>
      </c>
      <c r="F25" s="18" t="str">
        <f aca="false">IFERROR(INDEX('Vehicle Register'!$F$5:$F$500, MATCH(21, 'Vehicle Register'!$Y$5:$Y$500, 0)), "")</f>
        <v/>
      </c>
      <c r="G25" s="18" t="str">
        <f aca="false">IFERROR(INDEX('Vehicle Register'!$G$5:$G$500, MATCH(21, 'Vehicle Register'!$Y$5:$Y$500, 0)), "")</f>
        <v/>
      </c>
      <c r="H25" s="18" t="str">
        <f aca="false">IFERROR(INDEX('Vehicle Register'!$H$5:$H$500, MATCH(21, 'Vehicle Register'!$Y$5:$Y$500, 0)), "")</f>
        <v/>
      </c>
      <c r="I25" s="18" t="str">
        <f aca="false">IFERROR(INDEX('Vehicle Register'!$I$5:$I$500, MATCH(21, 'Vehicle Register'!$Y$5:$Y$500, 0)), "")</f>
        <v/>
      </c>
      <c r="J25" s="18" t="str">
        <f aca="false">IFERROR(INDEX('Vehicle Register'!$J$5:$J$500, MATCH(21, 'Vehicle Register'!$Y$5:$Y$500, 0)), "")</f>
        <v/>
      </c>
      <c r="K25" s="19" t="str">
        <f aca="false">IFERROR(INDEX('Vehicle Register'!$K$5:$K$500, MATCH(21, 'Vehicle Register'!$Y$5:$Y$500, 0)), "")</f>
        <v/>
      </c>
      <c r="L25" s="20" t="str">
        <f aca="false">IFERROR(INDEX('Vehicle Register'!$L$5:$L$500, MATCH(21, 'Vehicle Register'!$Y$5:$Y$500, 0)), "")</f>
        <v/>
      </c>
      <c r="M25" s="20" t="str">
        <f aca="false">IFERROR(INDEX('Vehicle Register'!$M$5:$M$500, MATCH(21, 'Vehicle Register'!$Y$5:$Y$500, 0)), "")</f>
        <v/>
      </c>
      <c r="N25" s="20" t="str">
        <f aca="false">IFERROR(INDEX('Vehicle Register'!$N$5:$N$500, MATCH(21, 'Vehicle Register'!$Y$5:$Y$500, 0)), "")</f>
        <v/>
      </c>
      <c r="O25" s="18" t="str">
        <f aca="false">IFERROR(INDEX('Vehicle Register'!$O$5:$O$500, MATCH(21, 'Vehicle Register'!$Y$5:$Y$500, 0)), "")</f>
        <v/>
      </c>
      <c r="P25" s="18" t="str">
        <f aca="false">IFERROR(INDEX('Vehicle Register'!$P$5:$P$500, MATCH(21, 'Vehicle Register'!$Y$5:$Y$500, 0)), "")</f>
        <v/>
      </c>
      <c r="Q25" s="20" t="str">
        <f aca="false">IFERROR(INDEX('Vehicle Register'!$Q$5:$Q$500, MATCH(21, 'Vehicle Register'!$Y$5:$Y$500, 0)), "")</f>
        <v/>
      </c>
      <c r="R25" s="19" t="str">
        <f aca="false">IFERROR(INDEX('Vehicle Register'!$R$5:$R$500, MATCH(21, 'Vehicle Register'!$Y$5:$Y$500, 0)), "")</f>
        <v/>
      </c>
      <c r="S25" s="20" t="str">
        <f aca="false">IFERROR(INDEX('Vehicle Register'!$S$5:$S$500, MATCH(21, 'Vehicle Register'!$Y$5:$Y$500, 0)), "")</f>
        <v/>
      </c>
      <c r="T25" s="18" t="str">
        <f aca="false">IFERROR(INDEX('Vehicle Register'!$T$5:$T$500, MATCH(21, 'Vehicle Register'!$Y$5:$Y$500, 0)), "")</f>
        <v/>
      </c>
      <c r="U25" s="20" t="str">
        <f aca="false">IFERROR(INDEX('Vehicle Register'!$U$5:$U$500, MATCH(21, 'Vehicle Register'!$Y$5:$Y$500, 0)), "")</f>
        <v/>
      </c>
      <c r="V25" s="21" t="str">
        <f aca="false">IFERROR(INDEX('Vehicle Register'!$V$5:$V$500, MATCH(21, 'Vehicle Register'!$Y$5:$Y$500, 0)), "")</f>
        <v/>
      </c>
      <c r="W25" s="22" t="str">
        <f aca="false">IFERROR(INDEX('Vehicle Register'!$W$5:$W$500, MATCH(21, 'Vehicle Register'!$Y$5:$Y$500, 0)), "")</f>
        <v/>
      </c>
    </row>
    <row r="26" customFormat="false" ht="15" hidden="false" customHeight="false" outlineLevel="0" collapsed="false">
      <c r="A26" s="18" t="str">
        <f aca="false">IFERROR(INDEX('Vehicle Register'!$A$5:$A$500, MATCH(22, 'Vehicle Register'!$Y$5:$Y$500, 0)), "")</f>
        <v/>
      </c>
      <c r="B26" s="18" t="str">
        <f aca="false">IFERROR(INDEX('Vehicle Register'!$B$5:$B$500, MATCH(22, 'Vehicle Register'!$Y$5:$Y$500, 0)), "")</f>
        <v/>
      </c>
      <c r="C26" s="18" t="str">
        <f aca="false">IFERROR(INDEX('Vehicle Register'!$C$5:$C$500, MATCH(22, 'Vehicle Register'!$Y$5:$Y$500, 0)), "")</f>
        <v/>
      </c>
      <c r="D26" s="18" t="str">
        <f aca="false">IFERROR(INDEX('Vehicle Register'!$D$5:$D$500, MATCH(22, 'Vehicle Register'!$Y$5:$Y$500, 0)), "")</f>
        <v/>
      </c>
      <c r="E26" s="18" t="str">
        <f aca="false">IFERROR(INDEX('Vehicle Register'!$E$5:$E$500, MATCH(22, 'Vehicle Register'!$Y$5:$Y$500, 0)), "")</f>
        <v/>
      </c>
      <c r="F26" s="18" t="str">
        <f aca="false">IFERROR(INDEX('Vehicle Register'!$F$5:$F$500, MATCH(22, 'Vehicle Register'!$Y$5:$Y$500, 0)), "")</f>
        <v/>
      </c>
      <c r="G26" s="18" t="str">
        <f aca="false">IFERROR(INDEX('Vehicle Register'!$G$5:$G$500, MATCH(22, 'Vehicle Register'!$Y$5:$Y$500, 0)), "")</f>
        <v/>
      </c>
      <c r="H26" s="18" t="str">
        <f aca="false">IFERROR(INDEX('Vehicle Register'!$H$5:$H$500, MATCH(22, 'Vehicle Register'!$Y$5:$Y$500, 0)), "")</f>
        <v/>
      </c>
      <c r="I26" s="18" t="str">
        <f aca="false">IFERROR(INDEX('Vehicle Register'!$I$5:$I$500, MATCH(22, 'Vehicle Register'!$Y$5:$Y$500, 0)), "")</f>
        <v/>
      </c>
      <c r="J26" s="18" t="str">
        <f aca="false">IFERROR(INDEX('Vehicle Register'!$J$5:$J$500, MATCH(22, 'Vehicle Register'!$Y$5:$Y$500, 0)), "")</f>
        <v/>
      </c>
      <c r="K26" s="19" t="str">
        <f aca="false">IFERROR(INDEX('Vehicle Register'!$K$5:$K$500, MATCH(22, 'Vehicle Register'!$Y$5:$Y$500, 0)), "")</f>
        <v/>
      </c>
      <c r="L26" s="20" t="str">
        <f aca="false">IFERROR(INDEX('Vehicle Register'!$L$5:$L$500, MATCH(22, 'Vehicle Register'!$Y$5:$Y$500, 0)), "")</f>
        <v/>
      </c>
      <c r="M26" s="20" t="str">
        <f aca="false">IFERROR(INDEX('Vehicle Register'!$M$5:$M$500, MATCH(22, 'Vehicle Register'!$Y$5:$Y$500, 0)), "")</f>
        <v/>
      </c>
      <c r="N26" s="20" t="str">
        <f aca="false">IFERROR(INDEX('Vehicle Register'!$N$5:$N$500, MATCH(22, 'Vehicle Register'!$Y$5:$Y$500, 0)), "")</f>
        <v/>
      </c>
      <c r="O26" s="18" t="str">
        <f aca="false">IFERROR(INDEX('Vehicle Register'!$O$5:$O$500, MATCH(22, 'Vehicle Register'!$Y$5:$Y$500, 0)), "")</f>
        <v/>
      </c>
      <c r="P26" s="18" t="str">
        <f aca="false">IFERROR(INDEX('Vehicle Register'!$P$5:$P$500, MATCH(22, 'Vehicle Register'!$Y$5:$Y$500, 0)), "")</f>
        <v/>
      </c>
      <c r="Q26" s="20" t="str">
        <f aca="false">IFERROR(INDEX('Vehicle Register'!$Q$5:$Q$500, MATCH(22, 'Vehicle Register'!$Y$5:$Y$500, 0)), "")</f>
        <v/>
      </c>
      <c r="R26" s="19" t="str">
        <f aca="false">IFERROR(INDEX('Vehicle Register'!$R$5:$R$500, MATCH(22, 'Vehicle Register'!$Y$5:$Y$500, 0)), "")</f>
        <v/>
      </c>
      <c r="S26" s="20" t="str">
        <f aca="false">IFERROR(INDEX('Vehicle Register'!$S$5:$S$500, MATCH(22, 'Vehicle Register'!$Y$5:$Y$500, 0)), "")</f>
        <v/>
      </c>
      <c r="T26" s="18" t="str">
        <f aca="false">IFERROR(INDEX('Vehicle Register'!$T$5:$T$500, MATCH(22, 'Vehicle Register'!$Y$5:$Y$500, 0)), "")</f>
        <v/>
      </c>
      <c r="U26" s="20" t="str">
        <f aca="false">IFERROR(INDEX('Vehicle Register'!$U$5:$U$500, MATCH(22, 'Vehicle Register'!$Y$5:$Y$500, 0)), "")</f>
        <v/>
      </c>
      <c r="V26" s="21" t="str">
        <f aca="false">IFERROR(INDEX('Vehicle Register'!$V$5:$V$500, MATCH(22, 'Vehicle Register'!$Y$5:$Y$500, 0)), "")</f>
        <v/>
      </c>
      <c r="W26" s="22" t="str">
        <f aca="false">IFERROR(INDEX('Vehicle Register'!$W$5:$W$500, MATCH(22, 'Vehicle Register'!$Y$5:$Y$500, 0)), "")</f>
        <v/>
      </c>
    </row>
    <row r="27" customFormat="false" ht="15" hidden="false" customHeight="false" outlineLevel="0" collapsed="false">
      <c r="A27" s="18" t="str">
        <f aca="false">IFERROR(INDEX('Vehicle Register'!$A$5:$A$500, MATCH(23, 'Vehicle Register'!$Y$5:$Y$500, 0)), "")</f>
        <v/>
      </c>
      <c r="B27" s="18" t="str">
        <f aca="false">IFERROR(INDEX('Vehicle Register'!$B$5:$B$500, MATCH(23, 'Vehicle Register'!$Y$5:$Y$500, 0)), "")</f>
        <v/>
      </c>
      <c r="C27" s="18" t="str">
        <f aca="false">IFERROR(INDEX('Vehicle Register'!$C$5:$C$500, MATCH(23, 'Vehicle Register'!$Y$5:$Y$500, 0)), "")</f>
        <v/>
      </c>
      <c r="D27" s="18" t="str">
        <f aca="false">IFERROR(INDEX('Vehicle Register'!$D$5:$D$500, MATCH(23, 'Vehicle Register'!$Y$5:$Y$500, 0)), "")</f>
        <v/>
      </c>
      <c r="E27" s="18" t="str">
        <f aca="false">IFERROR(INDEX('Vehicle Register'!$E$5:$E$500, MATCH(23, 'Vehicle Register'!$Y$5:$Y$500, 0)), "")</f>
        <v/>
      </c>
      <c r="F27" s="18" t="str">
        <f aca="false">IFERROR(INDEX('Vehicle Register'!$F$5:$F$500, MATCH(23, 'Vehicle Register'!$Y$5:$Y$500, 0)), "")</f>
        <v/>
      </c>
      <c r="G27" s="18" t="str">
        <f aca="false">IFERROR(INDEX('Vehicle Register'!$G$5:$G$500, MATCH(23, 'Vehicle Register'!$Y$5:$Y$500, 0)), "")</f>
        <v/>
      </c>
      <c r="H27" s="18" t="str">
        <f aca="false">IFERROR(INDEX('Vehicle Register'!$H$5:$H$500, MATCH(23, 'Vehicle Register'!$Y$5:$Y$500, 0)), "")</f>
        <v/>
      </c>
      <c r="I27" s="18" t="str">
        <f aca="false">IFERROR(INDEX('Vehicle Register'!$I$5:$I$500, MATCH(23, 'Vehicle Register'!$Y$5:$Y$500, 0)), "")</f>
        <v/>
      </c>
      <c r="J27" s="18" t="str">
        <f aca="false">IFERROR(INDEX('Vehicle Register'!$J$5:$J$500, MATCH(23, 'Vehicle Register'!$Y$5:$Y$500, 0)), "")</f>
        <v/>
      </c>
      <c r="K27" s="19" t="str">
        <f aca="false">IFERROR(INDEX('Vehicle Register'!$K$5:$K$500, MATCH(23, 'Vehicle Register'!$Y$5:$Y$500, 0)), "")</f>
        <v/>
      </c>
      <c r="L27" s="20" t="str">
        <f aca="false">IFERROR(INDEX('Vehicle Register'!$L$5:$L$500, MATCH(23, 'Vehicle Register'!$Y$5:$Y$500, 0)), "")</f>
        <v/>
      </c>
      <c r="M27" s="20" t="str">
        <f aca="false">IFERROR(INDEX('Vehicle Register'!$M$5:$M$500, MATCH(23, 'Vehicle Register'!$Y$5:$Y$500, 0)), "")</f>
        <v/>
      </c>
      <c r="N27" s="20" t="str">
        <f aca="false">IFERROR(INDEX('Vehicle Register'!$N$5:$N$500, MATCH(23, 'Vehicle Register'!$Y$5:$Y$500, 0)), "")</f>
        <v/>
      </c>
      <c r="O27" s="18" t="str">
        <f aca="false">IFERROR(INDEX('Vehicle Register'!$O$5:$O$500, MATCH(23, 'Vehicle Register'!$Y$5:$Y$500, 0)), "")</f>
        <v/>
      </c>
      <c r="P27" s="18" t="str">
        <f aca="false">IFERROR(INDEX('Vehicle Register'!$P$5:$P$500, MATCH(23, 'Vehicle Register'!$Y$5:$Y$500, 0)), "")</f>
        <v/>
      </c>
      <c r="Q27" s="20" t="str">
        <f aca="false">IFERROR(INDEX('Vehicle Register'!$Q$5:$Q$500, MATCH(23, 'Vehicle Register'!$Y$5:$Y$500, 0)), "")</f>
        <v/>
      </c>
      <c r="R27" s="19" t="str">
        <f aca="false">IFERROR(INDEX('Vehicle Register'!$R$5:$R$500, MATCH(23, 'Vehicle Register'!$Y$5:$Y$500, 0)), "")</f>
        <v/>
      </c>
      <c r="S27" s="20" t="str">
        <f aca="false">IFERROR(INDEX('Vehicle Register'!$S$5:$S$500, MATCH(23, 'Vehicle Register'!$Y$5:$Y$500, 0)), "")</f>
        <v/>
      </c>
      <c r="T27" s="18" t="str">
        <f aca="false">IFERROR(INDEX('Vehicle Register'!$T$5:$T$500, MATCH(23, 'Vehicle Register'!$Y$5:$Y$500, 0)), "")</f>
        <v/>
      </c>
      <c r="U27" s="20" t="str">
        <f aca="false">IFERROR(INDEX('Vehicle Register'!$U$5:$U$500, MATCH(23, 'Vehicle Register'!$Y$5:$Y$500, 0)), "")</f>
        <v/>
      </c>
      <c r="V27" s="21" t="str">
        <f aca="false">IFERROR(INDEX('Vehicle Register'!$V$5:$V$500, MATCH(23, 'Vehicle Register'!$Y$5:$Y$500, 0)), "")</f>
        <v/>
      </c>
      <c r="W27" s="22" t="str">
        <f aca="false">IFERROR(INDEX('Vehicle Register'!$W$5:$W$500, MATCH(23, 'Vehicle Register'!$Y$5:$Y$500, 0)), "")</f>
        <v/>
      </c>
    </row>
    <row r="28" customFormat="false" ht="15" hidden="false" customHeight="false" outlineLevel="0" collapsed="false">
      <c r="A28" s="18" t="str">
        <f aca="false">IFERROR(INDEX('Vehicle Register'!$A$5:$A$500, MATCH(24, 'Vehicle Register'!$Y$5:$Y$500, 0)), "")</f>
        <v/>
      </c>
      <c r="B28" s="18" t="str">
        <f aca="false">IFERROR(INDEX('Vehicle Register'!$B$5:$B$500, MATCH(24, 'Vehicle Register'!$Y$5:$Y$500, 0)), "")</f>
        <v/>
      </c>
      <c r="C28" s="18" t="str">
        <f aca="false">IFERROR(INDEX('Vehicle Register'!$C$5:$C$500, MATCH(24, 'Vehicle Register'!$Y$5:$Y$500, 0)), "")</f>
        <v/>
      </c>
      <c r="D28" s="18" t="str">
        <f aca="false">IFERROR(INDEX('Vehicle Register'!$D$5:$D$500, MATCH(24, 'Vehicle Register'!$Y$5:$Y$500, 0)), "")</f>
        <v/>
      </c>
      <c r="E28" s="18" t="str">
        <f aca="false">IFERROR(INDEX('Vehicle Register'!$E$5:$E$500, MATCH(24, 'Vehicle Register'!$Y$5:$Y$500, 0)), "")</f>
        <v/>
      </c>
      <c r="F28" s="18" t="str">
        <f aca="false">IFERROR(INDEX('Vehicle Register'!$F$5:$F$500, MATCH(24, 'Vehicle Register'!$Y$5:$Y$500, 0)), "")</f>
        <v/>
      </c>
      <c r="G28" s="18" t="str">
        <f aca="false">IFERROR(INDEX('Vehicle Register'!$G$5:$G$500, MATCH(24, 'Vehicle Register'!$Y$5:$Y$500, 0)), "")</f>
        <v/>
      </c>
      <c r="H28" s="18" t="str">
        <f aca="false">IFERROR(INDEX('Vehicle Register'!$H$5:$H$500, MATCH(24, 'Vehicle Register'!$Y$5:$Y$500, 0)), "")</f>
        <v/>
      </c>
      <c r="I28" s="18" t="str">
        <f aca="false">IFERROR(INDEX('Vehicle Register'!$I$5:$I$500, MATCH(24, 'Vehicle Register'!$Y$5:$Y$500, 0)), "")</f>
        <v/>
      </c>
      <c r="J28" s="18" t="str">
        <f aca="false">IFERROR(INDEX('Vehicle Register'!$J$5:$J$500, MATCH(24, 'Vehicle Register'!$Y$5:$Y$500, 0)), "")</f>
        <v/>
      </c>
      <c r="K28" s="19" t="str">
        <f aca="false">IFERROR(INDEX('Vehicle Register'!$K$5:$K$500, MATCH(24, 'Vehicle Register'!$Y$5:$Y$500, 0)), "")</f>
        <v/>
      </c>
      <c r="L28" s="20" t="str">
        <f aca="false">IFERROR(INDEX('Vehicle Register'!$L$5:$L$500, MATCH(24, 'Vehicle Register'!$Y$5:$Y$500, 0)), "")</f>
        <v/>
      </c>
      <c r="M28" s="20" t="str">
        <f aca="false">IFERROR(INDEX('Vehicle Register'!$M$5:$M$500, MATCH(24, 'Vehicle Register'!$Y$5:$Y$500, 0)), "")</f>
        <v/>
      </c>
      <c r="N28" s="20" t="str">
        <f aca="false">IFERROR(INDEX('Vehicle Register'!$N$5:$N$500, MATCH(24, 'Vehicle Register'!$Y$5:$Y$500, 0)), "")</f>
        <v/>
      </c>
      <c r="O28" s="18" t="str">
        <f aca="false">IFERROR(INDEX('Vehicle Register'!$O$5:$O$500, MATCH(24, 'Vehicle Register'!$Y$5:$Y$500, 0)), "")</f>
        <v/>
      </c>
      <c r="P28" s="18" t="str">
        <f aca="false">IFERROR(INDEX('Vehicle Register'!$P$5:$P$500, MATCH(24, 'Vehicle Register'!$Y$5:$Y$500, 0)), "")</f>
        <v/>
      </c>
      <c r="Q28" s="20" t="str">
        <f aca="false">IFERROR(INDEX('Vehicle Register'!$Q$5:$Q$500, MATCH(24, 'Vehicle Register'!$Y$5:$Y$500, 0)), "")</f>
        <v/>
      </c>
      <c r="R28" s="19" t="str">
        <f aca="false">IFERROR(INDEX('Vehicle Register'!$R$5:$R$500, MATCH(24, 'Vehicle Register'!$Y$5:$Y$500, 0)), "")</f>
        <v/>
      </c>
      <c r="S28" s="20" t="str">
        <f aca="false">IFERROR(INDEX('Vehicle Register'!$S$5:$S$500, MATCH(24, 'Vehicle Register'!$Y$5:$Y$500, 0)), "")</f>
        <v/>
      </c>
      <c r="T28" s="18" t="str">
        <f aca="false">IFERROR(INDEX('Vehicle Register'!$T$5:$T$500, MATCH(24, 'Vehicle Register'!$Y$5:$Y$500, 0)), "")</f>
        <v/>
      </c>
      <c r="U28" s="20" t="str">
        <f aca="false">IFERROR(INDEX('Vehicle Register'!$U$5:$U$500, MATCH(24, 'Vehicle Register'!$Y$5:$Y$500, 0)), "")</f>
        <v/>
      </c>
      <c r="V28" s="21" t="str">
        <f aca="false">IFERROR(INDEX('Vehicle Register'!$V$5:$V$500, MATCH(24, 'Vehicle Register'!$Y$5:$Y$500, 0)), "")</f>
        <v/>
      </c>
      <c r="W28" s="22" t="str">
        <f aca="false">IFERROR(INDEX('Vehicle Register'!$W$5:$W$500, MATCH(24, 'Vehicle Register'!$Y$5:$Y$500, 0)), "")</f>
        <v/>
      </c>
    </row>
    <row r="29" customFormat="false" ht="15" hidden="false" customHeight="false" outlineLevel="0" collapsed="false">
      <c r="A29" s="18" t="str">
        <f aca="false">IFERROR(INDEX('Vehicle Register'!$A$5:$A$500, MATCH(25, 'Vehicle Register'!$Y$5:$Y$500, 0)), "")</f>
        <v/>
      </c>
      <c r="B29" s="18" t="str">
        <f aca="false">IFERROR(INDEX('Vehicle Register'!$B$5:$B$500, MATCH(25, 'Vehicle Register'!$Y$5:$Y$500, 0)), "")</f>
        <v/>
      </c>
      <c r="C29" s="18" t="str">
        <f aca="false">IFERROR(INDEX('Vehicle Register'!$C$5:$C$500, MATCH(25, 'Vehicle Register'!$Y$5:$Y$500, 0)), "")</f>
        <v/>
      </c>
      <c r="D29" s="18" t="str">
        <f aca="false">IFERROR(INDEX('Vehicle Register'!$D$5:$D$500, MATCH(25, 'Vehicle Register'!$Y$5:$Y$500, 0)), "")</f>
        <v/>
      </c>
      <c r="E29" s="18" t="str">
        <f aca="false">IFERROR(INDEX('Vehicle Register'!$E$5:$E$500, MATCH(25, 'Vehicle Register'!$Y$5:$Y$500, 0)), "")</f>
        <v/>
      </c>
      <c r="F29" s="18" t="str">
        <f aca="false">IFERROR(INDEX('Vehicle Register'!$F$5:$F$500, MATCH(25, 'Vehicle Register'!$Y$5:$Y$500, 0)), "")</f>
        <v/>
      </c>
      <c r="G29" s="18" t="str">
        <f aca="false">IFERROR(INDEX('Vehicle Register'!$G$5:$G$500, MATCH(25, 'Vehicle Register'!$Y$5:$Y$500, 0)), "")</f>
        <v/>
      </c>
      <c r="H29" s="18" t="str">
        <f aca="false">IFERROR(INDEX('Vehicle Register'!$H$5:$H$500, MATCH(25, 'Vehicle Register'!$Y$5:$Y$500, 0)), "")</f>
        <v/>
      </c>
      <c r="I29" s="18" t="str">
        <f aca="false">IFERROR(INDEX('Vehicle Register'!$I$5:$I$500, MATCH(25, 'Vehicle Register'!$Y$5:$Y$500, 0)), "")</f>
        <v/>
      </c>
      <c r="J29" s="18" t="str">
        <f aca="false">IFERROR(INDEX('Vehicle Register'!$J$5:$J$500, MATCH(25, 'Vehicle Register'!$Y$5:$Y$500, 0)), "")</f>
        <v/>
      </c>
      <c r="K29" s="19" t="str">
        <f aca="false">IFERROR(INDEX('Vehicle Register'!$K$5:$K$500, MATCH(25, 'Vehicle Register'!$Y$5:$Y$500, 0)), "")</f>
        <v/>
      </c>
      <c r="L29" s="20" t="str">
        <f aca="false">IFERROR(INDEX('Vehicle Register'!$L$5:$L$500, MATCH(25, 'Vehicle Register'!$Y$5:$Y$500, 0)), "")</f>
        <v/>
      </c>
      <c r="M29" s="20" t="str">
        <f aca="false">IFERROR(INDEX('Vehicle Register'!$M$5:$M$500, MATCH(25, 'Vehicle Register'!$Y$5:$Y$500, 0)), "")</f>
        <v/>
      </c>
      <c r="N29" s="20" t="str">
        <f aca="false">IFERROR(INDEX('Vehicle Register'!$N$5:$N$500, MATCH(25, 'Vehicle Register'!$Y$5:$Y$500, 0)), "")</f>
        <v/>
      </c>
      <c r="O29" s="18" t="str">
        <f aca="false">IFERROR(INDEX('Vehicle Register'!$O$5:$O$500, MATCH(25, 'Vehicle Register'!$Y$5:$Y$500, 0)), "")</f>
        <v/>
      </c>
      <c r="P29" s="18" t="str">
        <f aca="false">IFERROR(INDEX('Vehicle Register'!$P$5:$P$500, MATCH(25, 'Vehicle Register'!$Y$5:$Y$500, 0)), "")</f>
        <v/>
      </c>
      <c r="Q29" s="20" t="str">
        <f aca="false">IFERROR(INDEX('Vehicle Register'!$Q$5:$Q$500, MATCH(25, 'Vehicle Register'!$Y$5:$Y$500, 0)), "")</f>
        <v/>
      </c>
      <c r="R29" s="19" t="str">
        <f aca="false">IFERROR(INDEX('Vehicle Register'!$R$5:$R$500, MATCH(25, 'Vehicle Register'!$Y$5:$Y$500, 0)), "")</f>
        <v/>
      </c>
      <c r="S29" s="20" t="str">
        <f aca="false">IFERROR(INDEX('Vehicle Register'!$S$5:$S$500, MATCH(25, 'Vehicle Register'!$Y$5:$Y$500, 0)), "")</f>
        <v/>
      </c>
      <c r="T29" s="18" t="str">
        <f aca="false">IFERROR(INDEX('Vehicle Register'!$T$5:$T$500, MATCH(25, 'Vehicle Register'!$Y$5:$Y$500, 0)), "")</f>
        <v/>
      </c>
      <c r="U29" s="20" t="str">
        <f aca="false">IFERROR(INDEX('Vehicle Register'!$U$5:$U$500, MATCH(25, 'Vehicle Register'!$Y$5:$Y$500, 0)), "")</f>
        <v/>
      </c>
      <c r="V29" s="21" t="str">
        <f aca="false">IFERROR(INDEX('Vehicle Register'!$V$5:$V$500, MATCH(25, 'Vehicle Register'!$Y$5:$Y$500, 0)), "")</f>
        <v/>
      </c>
      <c r="W29" s="22" t="str">
        <f aca="false">IFERROR(INDEX('Vehicle Register'!$W$5:$W$500, MATCH(25, 'Vehicle Register'!$Y$5:$Y$500, 0)), "")</f>
        <v/>
      </c>
    </row>
    <row r="30" customFormat="false" ht="15" hidden="false" customHeight="false" outlineLevel="0" collapsed="false">
      <c r="A30" s="18" t="str">
        <f aca="false">IFERROR(INDEX('Vehicle Register'!$A$5:$A$500, MATCH(26, 'Vehicle Register'!$Y$5:$Y$500, 0)), "")</f>
        <v/>
      </c>
      <c r="B30" s="18" t="str">
        <f aca="false">IFERROR(INDEX('Vehicle Register'!$B$5:$B$500, MATCH(26, 'Vehicle Register'!$Y$5:$Y$500, 0)), "")</f>
        <v/>
      </c>
      <c r="C30" s="18" t="str">
        <f aca="false">IFERROR(INDEX('Vehicle Register'!$C$5:$C$500, MATCH(26, 'Vehicle Register'!$Y$5:$Y$500, 0)), "")</f>
        <v/>
      </c>
      <c r="D30" s="18" t="str">
        <f aca="false">IFERROR(INDEX('Vehicle Register'!$D$5:$D$500, MATCH(26, 'Vehicle Register'!$Y$5:$Y$500, 0)), "")</f>
        <v/>
      </c>
      <c r="E30" s="18" t="str">
        <f aca="false">IFERROR(INDEX('Vehicle Register'!$E$5:$E$500, MATCH(26, 'Vehicle Register'!$Y$5:$Y$500, 0)), "")</f>
        <v/>
      </c>
      <c r="F30" s="18" t="str">
        <f aca="false">IFERROR(INDEX('Vehicle Register'!$F$5:$F$500, MATCH(26, 'Vehicle Register'!$Y$5:$Y$500, 0)), "")</f>
        <v/>
      </c>
      <c r="G30" s="18" t="str">
        <f aca="false">IFERROR(INDEX('Vehicle Register'!$G$5:$G$500, MATCH(26, 'Vehicle Register'!$Y$5:$Y$500, 0)), "")</f>
        <v/>
      </c>
      <c r="H30" s="18" t="str">
        <f aca="false">IFERROR(INDEX('Vehicle Register'!$H$5:$H$500, MATCH(26, 'Vehicle Register'!$Y$5:$Y$500, 0)), "")</f>
        <v/>
      </c>
      <c r="I30" s="18" t="str">
        <f aca="false">IFERROR(INDEX('Vehicle Register'!$I$5:$I$500, MATCH(26, 'Vehicle Register'!$Y$5:$Y$500, 0)), "")</f>
        <v/>
      </c>
      <c r="J30" s="18" t="str">
        <f aca="false">IFERROR(INDEX('Vehicle Register'!$J$5:$J$500, MATCH(26, 'Vehicle Register'!$Y$5:$Y$500, 0)), "")</f>
        <v/>
      </c>
      <c r="K30" s="19" t="str">
        <f aca="false">IFERROR(INDEX('Vehicle Register'!$K$5:$K$500, MATCH(26, 'Vehicle Register'!$Y$5:$Y$500, 0)), "")</f>
        <v/>
      </c>
      <c r="L30" s="20" t="str">
        <f aca="false">IFERROR(INDEX('Vehicle Register'!$L$5:$L$500, MATCH(26, 'Vehicle Register'!$Y$5:$Y$500, 0)), "")</f>
        <v/>
      </c>
      <c r="M30" s="20" t="str">
        <f aca="false">IFERROR(INDEX('Vehicle Register'!$M$5:$M$500, MATCH(26, 'Vehicle Register'!$Y$5:$Y$500, 0)), "")</f>
        <v/>
      </c>
      <c r="N30" s="20" t="str">
        <f aca="false">IFERROR(INDEX('Vehicle Register'!$N$5:$N$500, MATCH(26, 'Vehicle Register'!$Y$5:$Y$500, 0)), "")</f>
        <v/>
      </c>
      <c r="O30" s="18" t="str">
        <f aca="false">IFERROR(INDEX('Vehicle Register'!$O$5:$O$500, MATCH(26, 'Vehicle Register'!$Y$5:$Y$500, 0)), "")</f>
        <v/>
      </c>
      <c r="P30" s="18" t="str">
        <f aca="false">IFERROR(INDEX('Vehicle Register'!$P$5:$P$500, MATCH(26, 'Vehicle Register'!$Y$5:$Y$500, 0)), "")</f>
        <v/>
      </c>
      <c r="Q30" s="20" t="str">
        <f aca="false">IFERROR(INDEX('Vehicle Register'!$Q$5:$Q$500, MATCH(26, 'Vehicle Register'!$Y$5:$Y$500, 0)), "")</f>
        <v/>
      </c>
      <c r="R30" s="19" t="str">
        <f aca="false">IFERROR(INDEX('Vehicle Register'!$R$5:$R$500, MATCH(26, 'Vehicle Register'!$Y$5:$Y$500, 0)), "")</f>
        <v/>
      </c>
      <c r="S30" s="20" t="str">
        <f aca="false">IFERROR(INDEX('Vehicle Register'!$S$5:$S$500, MATCH(26, 'Vehicle Register'!$Y$5:$Y$500, 0)), "")</f>
        <v/>
      </c>
      <c r="T30" s="18" t="str">
        <f aca="false">IFERROR(INDEX('Vehicle Register'!$T$5:$T$500, MATCH(26, 'Vehicle Register'!$Y$5:$Y$500, 0)), "")</f>
        <v/>
      </c>
      <c r="U30" s="20" t="str">
        <f aca="false">IFERROR(INDEX('Vehicle Register'!$U$5:$U$500, MATCH(26, 'Vehicle Register'!$Y$5:$Y$500, 0)), "")</f>
        <v/>
      </c>
      <c r="V30" s="21" t="str">
        <f aca="false">IFERROR(INDEX('Vehicle Register'!$V$5:$V$500, MATCH(26, 'Vehicle Register'!$Y$5:$Y$500, 0)), "")</f>
        <v/>
      </c>
      <c r="W30" s="22" t="str">
        <f aca="false">IFERROR(INDEX('Vehicle Register'!$W$5:$W$500, MATCH(26, 'Vehicle Register'!$Y$5:$Y$500, 0)), "")</f>
        <v/>
      </c>
    </row>
    <row r="31" customFormat="false" ht="15" hidden="false" customHeight="false" outlineLevel="0" collapsed="false">
      <c r="A31" s="18" t="str">
        <f aca="false">IFERROR(INDEX('Vehicle Register'!$A$5:$A$500, MATCH(27, 'Vehicle Register'!$Y$5:$Y$500, 0)), "")</f>
        <v/>
      </c>
      <c r="B31" s="18" t="str">
        <f aca="false">IFERROR(INDEX('Vehicle Register'!$B$5:$B$500, MATCH(27, 'Vehicle Register'!$Y$5:$Y$500, 0)), "")</f>
        <v/>
      </c>
      <c r="C31" s="18" t="str">
        <f aca="false">IFERROR(INDEX('Vehicle Register'!$C$5:$C$500, MATCH(27, 'Vehicle Register'!$Y$5:$Y$500, 0)), "")</f>
        <v/>
      </c>
      <c r="D31" s="18" t="str">
        <f aca="false">IFERROR(INDEX('Vehicle Register'!$D$5:$D$500, MATCH(27, 'Vehicle Register'!$Y$5:$Y$500, 0)), "")</f>
        <v/>
      </c>
      <c r="E31" s="18" t="str">
        <f aca="false">IFERROR(INDEX('Vehicle Register'!$E$5:$E$500, MATCH(27, 'Vehicle Register'!$Y$5:$Y$500, 0)), "")</f>
        <v/>
      </c>
      <c r="F31" s="18" t="str">
        <f aca="false">IFERROR(INDEX('Vehicle Register'!$F$5:$F$500, MATCH(27, 'Vehicle Register'!$Y$5:$Y$500, 0)), "")</f>
        <v/>
      </c>
      <c r="G31" s="18" t="str">
        <f aca="false">IFERROR(INDEX('Vehicle Register'!$G$5:$G$500, MATCH(27, 'Vehicle Register'!$Y$5:$Y$500, 0)), "")</f>
        <v/>
      </c>
      <c r="H31" s="18" t="str">
        <f aca="false">IFERROR(INDEX('Vehicle Register'!$H$5:$H$500, MATCH(27, 'Vehicle Register'!$Y$5:$Y$500, 0)), "")</f>
        <v/>
      </c>
      <c r="I31" s="18" t="str">
        <f aca="false">IFERROR(INDEX('Vehicle Register'!$I$5:$I$500, MATCH(27, 'Vehicle Register'!$Y$5:$Y$500, 0)), "")</f>
        <v/>
      </c>
      <c r="J31" s="18" t="str">
        <f aca="false">IFERROR(INDEX('Vehicle Register'!$J$5:$J$500, MATCH(27, 'Vehicle Register'!$Y$5:$Y$500, 0)), "")</f>
        <v/>
      </c>
      <c r="K31" s="19" t="str">
        <f aca="false">IFERROR(INDEX('Vehicle Register'!$K$5:$K$500, MATCH(27, 'Vehicle Register'!$Y$5:$Y$500, 0)), "")</f>
        <v/>
      </c>
      <c r="L31" s="20" t="str">
        <f aca="false">IFERROR(INDEX('Vehicle Register'!$L$5:$L$500, MATCH(27, 'Vehicle Register'!$Y$5:$Y$500, 0)), "")</f>
        <v/>
      </c>
      <c r="M31" s="20" t="str">
        <f aca="false">IFERROR(INDEX('Vehicle Register'!$M$5:$M$500, MATCH(27, 'Vehicle Register'!$Y$5:$Y$500, 0)), "")</f>
        <v/>
      </c>
      <c r="N31" s="20" t="str">
        <f aca="false">IFERROR(INDEX('Vehicle Register'!$N$5:$N$500, MATCH(27, 'Vehicle Register'!$Y$5:$Y$500, 0)), "")</f>
        <v/>
      </c>
      <c r="O31" s="18" t="str">
        <f aca="false">IFERROR(INDEX('Vehicle Register'!$O$5:$O$500, MATCH(27, 'Vehicle Register'!$Y$5:$Y$500, 0)), "")</f>
        <v/>
      </c>
      <c r="P31" s="18" t="str">
        <f aca="false">IFERROR(INDEX('Vehicle Register'!$P$5:$P$500, MATCH(27, 'Vehicle Register'!$Y$5:$Y$500, 0)), "")</f>
        <v/>
      </c>
      <c r="Q31" s="20" t="str">
        <f aca="false">IFERROR(INDEX('Vehicle Register'!$Q$5:$Q$500, MATCH(27, 'Vehicle Register'!$Y$5:$Y$500, 0)), "")</f>
        <v/>
      </c>
      <c r="R31" s="19" t="str">
        <f aca="false">IFERROR(INDEX('Vehicle Register'!$R$5:$R$500, MATCH(27, 'Vehicle Register'!$Y$5:$Y$500, 0)), "")</f>
        <v/>
      </c>
      <c r="S31" s="20" t="str">
        <f aca="false">IFERROR(INDEX('Vehicle Register'!$S$5:$S$500, MATCH(27, 'Vehicle Register'!$Y$5:$Y$500, 0)), "")</f>
        <v/>
      </c>
      <c r="T31" s="18" t="str">
        <f aca="false">IFERROR(INDEX('Vehicle Register'!$T$5:$T$500, MATCH(27, 'Vehicle Register'!$Y$5:$Y$500, 0)), "")</f>
        <v/>
      </c>
      <c r="U31" s="20" t="str">
        <f aca="false">IFERROR(INDEX('Vehicle Register'!$U$5:$U$500, MATCH(27, 'Vehicle Register'!$Y$5:$Y$500, 0)), "")</f>
        <v/>
      </c>
      <c r="V31" s="21" t="str">
        <f aca="false">IFERROR(INDEX('Vehicle Register'!$V$5:$V$500, MATCH(27, 'Vehicle Register'!$Y$5:$Y$500, 0)), "")</f>
        <v/>
      </c>
      <c r="W31" s="22" t="str">
        <f aca="false">IFERROR(INDEX('Vehicle Register'!$W$5:$W$500, MATCH(27, 'Vehicle Register'!$Y$5:$Y$500, 0)), "")</f>
        <v/>
      </c>
    </row>
    <row r="32" customFormat="false" ht="15" hidden="false" customHeight="false" outlineLevel="0" collapsed="false">
      <c r="A32" s="18" t="str">
        <f aca="false">IFERROR(INDEX('Vehicle Register'!$A$5:$A$500, MATCH(28, 'Vehicle Register'!$Y$5:$Y$500, 0)), "")</f>
        <v/>
      </c>
      <c r="B32" s="18" t="str">
        <f aca="false">IFERROR(INDEX('Vehicle Register'!$B$5:$B$500, MATCH(28, 'Vehicle Register'!$Y$5:$Y$500, 0)), "")</f>
        <v/>
      </c>
      <c r="C32" s="18" t="str">
        <f aca="false">IFERROR(INDEX('Vehicle Register'!$C$5:$C$500, MATCH(28, 'Vehicle Register'!$Y$5:$Y$500, 0)), "")</f>
        <v/>
      </c>
      <c r="D32" s="18" t="str">
        <f aca="false">IFERROR(INDEX('Vehicle Register'!$D$5:$D$500, MATCH(28, 'Vehicle Register'!$Y$5:$Y$500, 0)), "")</f>
        <v/>
      </c>
      <c r="E32" s="18" t="str">
        <f aca="false">IFERROR(INDEX('Vehicle Register'!$E$5:$E$500, MATCH(28, 'Vehicle Register'!$Y$5:$Y$500, 0)), "")</f>
        <v/>
      </c>
      <c r="F32" s="18" t="str">
        <f aca="false">IFERROR(INDEX('Vehicle Register'!$F$5:$F$500, MATCH(28, 'Vehicle Register'!$Y$5:$Y$500, 0)), "")</f>
        <v/>
      </c>
      <c r="G32" s="18" t="str">
        <f aca="false">IFERROR(INDEX('Vehicle Register'!$G$5:$G$500, MATCH(28, 'Vehicle Register'!$Y$5:$Y$500, 0)), "")</f>
        <v/>
      </c>
      <c r="H32" s="18" t="str">
        <f aca="false">IFERROR(INDEX('Vehicle Register'!$H$5:$H$500, MATCH(28, 'Vehicle Register'!$Y$5:$Y$500, 0)), "")</f>
        <v/>
      </c>
      <c r="I32" s="18" t="str">
        <f aca="false">IFERROR(INDEX('Vehicle Register'!$I$5:$I$500, MATCH(28, 'Vehicle Register'!$Y$5:$Y$500, 0)), "")</f>
        <v/>
      </c>
      <c r="J32" s="18" t="str">
        <f aca="false">IFERROR(INDEX('Vehicle Register'!$J$5:$J$500, MATCH(28, 'Vehicle Register'!$Y$5:$Y$500, 0)), "")</f>
        <v/>
      </c>
      <c r="K32" s="19" t="str">
        <f aca="false">IFERROR(INDEX('Vehicle Register'!$K$5:$K$500, MATCH(28, 'Vehicle Register'!$Y$5:$Y$500, 0)), "")</f>
        <v/>
      </c>
      <c r="L32" s="20" t="str">
        <f aca="false">IFERROR(INDEX('Vehicle Register'!$L$5:$L$500, MATCH(28, 'Vehicle Register'!$Y$5:$Y$500, 0)), "")</f>
        <v/>
      </c>
      <c r="M32" s="20" t="str">
        <f aca="false">IFERROR(INDEX('Vehicle Register'!$M$5:$M$500, MATCH(28, 'Vehicle Register'!$Y$5:$Y$500, 0)), "")</f>
        <v/>
      </c>
      <c r="N32" s="20" t="str">
        <f aca="false">IFERROR(INDEX('Vehicle Register'!$N$5:$N$500, MATCH(28, 'Vehicle Register'!$Y$5:$Y$500, 0)), "")</f>
        <v/>
      </c>
      <c r="O32" s="18" t="str">
        <f aca="false">IFERROR(INDEX('Vehicle Register'!$O$5:$O$500, MATCH(28, 'Vehicle Register'!$Y$5:$Y$500, 0)), "")</f>
        <v/>
      </c>
      <c r="P32" s="18" t="str">
        <f aca="false">IFERROR(INDEX('Vehicle Register'!$P$5:$P$500, MATCH(28, 'Vehicle Register'!$Y$5:$Y$500, 0)), "")</f>
        <v/>
      </c>
      <c r="Q32" s="20" t="str">
        <f aca="false">IFERROR(INDEX('Vehicle Register'!$Q$5:$Q$500, MATCH(28, 'Vehicle Register'!$Y$5:$Y$500, 0)), "")</f>
        <v/>
      </c>
      <c r="R32" s="19" t="str">
        <f aca="false">IFERROR(INDEX('Vehicle Register'!$R$5:$R$500, MATCH(28, 'Vehicle Register'!$Y$5:$Y$500, 0)), "")</f>
        <v/>
      </c>
      <c r="S32" s="20" t="str">
        <f aca="false">IFERROR(INDEX('Vehicle Register'!$S$5:$S$500, MATCH(28, 'Vehicle Register'!$Y$5:$Y$500, 0)), "")</f>
        <v/>
      </c>
      <c r="T32" s="18" t="str">
        <f aca="false">IFERROR(INDEX('Vehicle Register'!$T$5:$T$500, MATCH(28, 'Vehicle Register'!$Y$5:$Y$500, 0)), "")</f>
        <v/>
      </c>
      <c r="U32" s="20" t="str">
        <f aca="false">IFERROR(INDEX('Vehicle Register'!$U$5:$U$500, MATCH(28, 'Vehicle Register'!$Y$5:$Y$500, 0)), "")</f>
        <v/>
      </c>
      <c r="V32" s="21" t="str">
        <f aca="false">IFERROR(INDEX('Vehicle Register'!$V$5:$V$500, MATCH(28, 'Vehicle Register'!$Y$5:$Y$500, 0)), "")</f>
        <v/>
      </c>
      <c r="W32" s="22" t="str">
        <f aca="false">IFERROR(INDEX('Vehicle Register'!$W$5:$W$500, MATCH(28, 'Vehicle Register'!$Y$5:$Y$500, 0)), "")</f>
        <v/>
      </c>
    </row>
    <row r="33" customFormat="false" ht="15" hidden="false" customHeight="false" outlineLevel="0" collapsed="false">
      <c r="A33" s="18" t="str">
        <f aca="false">IFERROR(INDEX('Vehicle Register'!$A$5:$A$500, MATCH(29, 'Vehicle Register'!$Y$5:$Y$500, 0)), "")</f>
        <v/>
      </c>
      <c r="B33" s="18" t="str">
        <f aca="false">IFERROR(INDEX('Vehicle Register'!$B$5:$B$500, MATCH(29, 'Vehicle Register'!$Y$5:$Y$500, 0)), "")</f>
        <v/>
      </c>
      <c r="C33" s="18" t="str">
        <f aca="false">IFERROR(INDEX('Vehicle Register'!$C$5:$C$500, MATCH(29, 'Vehicle Register'!$Y$5:$Y$500, 0)), "")</f>
        <v/>
      </c>
      <c r="D33" s="18" t="str">
        <f aca="false">IFERROR(INDEX('Vehicle Register'!$D$5:$D$500, MATCH(29, 'Vehicle Register'!$Y$5:$Y$500, 0)), "")</f>
        <v/>
      </c>
      <c r="E33" s="18" t="str">
        <f aca="false">IFERROR(INDEX('Vehicle Register'!$E$5:$E$500, MATCH(29, 'Vehicle Register'!$Y$5:$Y$500, 0)), "")</f>
        <v/>
      </c>
      <c r="F33" s="18" t="str">
        <f aca="false">IFERROR(INDEX('Vehicle Register'!$F$5:$F$500, MATCH(29, 'Vehicle Register'!$Y$5:$Y$500, 0)), "")</f>
        <v/>
      </c>
      <c r="G33" s="18" t="str">
        <f aca="false">IFERROR(INDEX('Vehicle Register'!$G$5:$G$500, MATCH(29, 'Vehicle Register'!$Y$5:$Y$500, 0)), "")</f>
        <v/>
      </c>
      <c r="H33" s="18" t="str">
        <f aca="false">IFERROR(INDEX('Vehicle Register'!$H$5:$H$500, MATCH(29, 'Vehicle Register'!$Y$5:$Y$500, 0)), "")</f>
        <v/>
      </c>
      <c r="I33" s="18" t="str">
        <f aca="false">IFERROR(INDEX('Vehicle Register'!$I$5:$I$500, MATCH(29, 'Vehicle Register'!$Y$5:$Y$500, 0)), "")</f>
        <v/>
      </c>
      <c r="J33" s="18" t="str">
        <f aca="false">IFERROR(INDEX('Vehicle Register'!$J$5:$J$500, MATCH(29, 'Vehicle Register'!$Y$5:$Y$500, 0)), "")</f>
        <v/>
      </c>
      <c r="K33" s="19" t="str">
        <f aca="false">IFERROR(INDEX('Vehicle Register'!$K$5:$K$500, MATCH(29, 'Vehicle Register'!$Y$5:$Y$500, 0)), "")</f>
        <v/>
      </c>
      <c r="L33" s="20" t="str">
        <f aca="false">IFERROR(INDEX('Vehicle Register'!$L$5:$L$500, MATCH(29, 'Vehicle Register'!$Y$5:$Y$500, 0)), "")</f>
        <v/>
      </c>
      <c r="M33" s="20" t="str">
        <f aca="false">IFERROR(INDEX('Vehicle Register'!$M$5:$M$500, MATCH(29, 'Vehicle Register'!$Y$5:$Y$500, 0)), "")</f>
        <v/>
      </c>
      <c r="N33" s="20" t="str">
        <f aca="false">IFERROR(INDEX('Vehicle Register'!$N$5:$N$500, MATCH(29, 'Vehicle Register'!$Y$5:$Y$500, 0)), "")</f>
        <v/>
      </c>
      <c r="O33" s="18" t="str">
        <f aca="false">IFERROR(INDEX('Vehicle Register'!$O$5:$O$500, MATCH(29, 'Vehicle Register'!$Y$5:$Y$500, 0)), "")</f>
        <v/>
      </c>
      <c r="P33" s="18" t="str">
        <f aca="false">IFERROR(INDEX('Vehicle Register'!$P$5:$P$500, MATCH(29, 'Vehicle Register'!$Y$5:$Y$500, 0)), "")</f>
        <v/>
      </c>
      <c r="Q33" s="20" t="str">
        <f aca="false">IFERROR(INDEX('Vehicle Register'!$Q$5:$Q$500, MATCH(29, 'Vehicle Register'!$Y$5:$Y$500, 0)), "")</f>
        <v/>
      </c>
      <c r="R33" s="19" t="str">
        <f aca="false">IFERROR(INDEX('Vehicle Register'!$R$5:$R$500, MATCH(29, 'Vehicle Register'!$Y$5:$Y$500, 0)), "")</f>
        <v/>
      </c>
      <c r="S33" s="20" t="str">
        <f aca="false">IFERROR(INDEX('Vehicle Register'!$S$5:$S$500, MATCH(29, 'Vehicle Register'!$Y$5:$Y$500, 0)), "")</f>
        <v/>
      </c>
      <c r="T33" s="18" t="str">
        <f aca="false">IFERROR(INDEX('Vehicle Register'!$T$5:$T$500, MATCH(29, 'Vehicle Register'!$Y$5:$Y$500, 0)), "")</f>
        <v/>
      </c>
      <c r="U33" s="20" t="str">
        <f aca="false">IFERROR(INDEX('Vehicle Register'!$U$5:$U$500, MATCH(29, 'Vehicle Register'!$Y$5:$Y$500, 0)), "")</f>
        <v/>
      </c>
      <c r="V33" s="21" t="str">
        <f aca="false">IFERROR(INDEX('Vehicle Register'!$V$5:$V$500, MATCH(29, 'Vehicle Register'!$Y$5:$Y$500, 0)), "")</f>
        <v/>
      </c>
      <c r="W33" s="22" t="str">
        <f aca="false">IFERROR(INDEX('Vehicle Register'!$W$5:$W$500, MATCH(29, 'Vehicle Register'!$Y$5:$Y$500, 0)), "")</f>
        <v/>
      </c>
    </row>
    <row r="34" customFormat="false" ht="15" hidden="false" customHeight="false" outlineLevel="0" collapsed="false">
      <c r="A34" s="18" t="str">
        <f aca="false">IFERROR(INDEX('Vehicle Register'!$A$5:$A$500, MATCH(30, 'Vehicle Register'!$Y$5:$Y$500, 0)), "")</f>
        <v/>
      </c>
      <c r="B34" s="18" t="str">
        <f aca="false">IFERROR(INDEX('Vehicle Register'!$B$5:$B$500, MATCH(30, 'Vehicle Register'!$Y$5:$Y$500, 0)), "")</f>
        <v/>
      </c>
      <c r="C34" s="18" t="str">
        <f aca="false">IFERROR(INDEX('Vehicle Register'!$C$5:$C$500, MATCH(30, 'Vehicle Register'!$Y$5:$Y$500, 0)), "")</f>
        <v/>
      </c>
      <c r="D34" s="18" t="str">
        <f aca="false">IFERROR(INDEX('Vehicle Register'!$D$5:$D$500, MATCH(30, 'Vehicle Register'!$Y$5:$Y$500, 0)), "")</f>
        <v/>
      </c>
      <c r="E34" s="18" t="str">
        <f aca="false">IFERROR(INDEX('Vehicle Register'!$E$5:$E$500, MATCH(30, 'Vehicle Register'!$Y$5:$Y$500, 0)), "")</f>
        <v/>
      </c>
      <c r="F34" s="18" t="str">
        <f aca="false">IFERROR(INDEX('Vehicle Register'!$F$5:$F$500, MATCH(30, 'Vehicle Register'!$Y$5:$Y$500, 0)), "")</f>
        <v/>
      </c>
      <c r="G34" s="18" t="str">
        <f aca="false">IFERROR(INDEX('Vehicle Register'!$G$5:$G$500, MATCH(30, 'Vehicle Register'!$Y$5:$Y$500, 0)), "")</f>
        <v/>
      </c>
      <c r="H34" s="18" t="str">
        <f aca="false">IFERROR(INDEX('Vehicle Register'!$H$5:$H$500, MATCH(30, 'Vehicle Register'!$Y$5:$Y$500, 0)), "")</f>
        <v/>
      </c>
      <c r="I34" s="18" t="str">
        <f aca="false">IFERROR(INDEX('Vehicle Register'!$I$5:$I$500, MATCH(30, 'Vehicle Register'!$Y$5:$Y$500, 0)), "")</f>
        <v/>
      </c>
      <c r="J34" s="18" t="str">
        <f aca="false">IFERROR(INDEX('Vehicle Register'!$J$5:$J$500, MATCH(30, 'Vehicle Register'!$Y$5:$Y$500, 0)), "")</f>
        <v/>
      </c>
      <c r="K34" s="19" t="str">
        <f aca="false">IFERROR(INDEX('Vehicle Register'!$K$5:$K$500, MATCH(30, 'Vehicle Register'!$Y$5:$Y$500, 0)), "")</f>
        <v/>
      </c>
      <c r="L34" s="20" t="str">
        <f aca="false">IFERROR(INDEX('Vehicle Register'!$L$5:$L$500, MATCH(30, 'Vehicle Register'!$Y$5:$Y$500, 0)), "")</f>
        <v/>
      </c>
      <c r="M34" s="20" t="str">
        <f aca="false">IFERROR(INDEX('Vehicle Register'!$M$5:$M$500, MATCH(30, 'Vehicle Register'!$Y$5:$Y$500, 0)), "")</f>
        <v/>
      </c>
      <c r="N34" s="20" t="str">
        <f aca="false">IFERROR(INDEX('Vehicle Register'!$N$5:$N$500, MATCH(30, 'Vehicle Register'!$Y$5:$Y$500, 0)), "")</f>
        <v/>
      </c>
      <c r="O34" s="18" t="str">
        <f aca="false">IFERROR(INDEX('Vehicle Register'!$O$5:$O$500, MATCH(30, 'Vehicle Register'!$Y$5:$Y$500, 0)), "")</f>
        <v/>
      </c>
      <c r="P34" s="18" t="str">
        <f aca="false">IFERROR(INDEX('Vehicle Register'!$P$5:$P$500, MATCH(30, 'Vehicle Register'!$Y$5:$Y$500, 0)), "")</f>
        <v/>
      </c>
      <c r="Q34" s="20" t="str">
        <f aca="false">IFERROR(INDEX('Vehicle Register'!$Q$5:$Q$500, MATCH(30, 'Vehicle Register'!$Y$5:$Y$500, 0)), "")</f>
        <v/>
      </c>
      <c r="R34" s="19" t="str">
        <f aca="false">IFERROR(INDEX('Vehicle Register'!$R$5:$R$500, MATCH(30, 'Vehicle Register'!$Y$5:$Y$500, 0)), "")</f>
        <v/>
      </c>
      <c r="S34" s="20" t="str">
        <f aca="false">IFERROR(INDEX('Vehicle Register'!$S$5:$S$500, MATCH(30, 'Vehicle Register'!$Y$5:$Y$500, 0)), "")</f>
        <v/>
      </c>
      <c r="T34" s="18" t="str">
        <f aca="false">IFERROR(INDEX('Vehicle Register'!$T$5:$T$500, MATCH(30, 'Vehicle Register'!$Y$5:$Y$500, 0)), "")</f>
        <v/>
      </c>
      <c r="U34" s="20" t="str">
        <f aca="false">IFERROR(INDEX('Vehicle Register'!$U$5:$U$500, MATCH(30, 'Vehicle Register'!$Y$5:$Y$500, 0)), "")</f>
        <v/>
      </c>
      <c r="V34" s="21" t="str">
        <f aca="false">IFERROR(INDEX('Vehicle Register'!$V$5:$V$500, MATCH(30, 'Vehicle Register'!$Y$5:$Y$500, 0)), "")</f>
        <v/>
      </c>
      <c r="W34" s="22" t="str">
        <f aca="false">IFERROR(INDEX('Vehicle Register'!$W$5:$W$500, MATCH(30, 'Vehicle Register'!$Y$5:$Y$500, 0)), "")</f>
        <v/>
      </c>
    </row>
    <row r="35" customFormat="false" ht="15" hidden="false" customHeight="false" outlineLevel="0" collapsed="false">
      <c r="A35" s="18" t="str">
        <f aca="false">IFERROR(INDEX('Vehicle Register'!$A$5:$A$500, MATCH(31, 'Vehicle Register'!$Y$5:$Y$500, 0)), "")</f>
        <v/>
      </c>
      <c r="B35" s="18" t="str">
        <f aca="false">IFERROR(INDEX('Vehicle Register'!$B$5:$B$500, MATCH(31, 'Vehicle Register'!$Y$5:$Y$500, 0)), "")</f>
        <v/>
      </c>
      <c r="C35" s="18" t="str">
        <f aca="false">IFERROR(INDEX('Vehicle Register'!$C$5:$C$500, MATCH(31, 'Vehicle Register'!$Y$5:$Y$500, 0)), "")</f>
        <v/>
      </c>
      <c r="D35" s="18" t="str">
        <f aca="false">IFERROR(INDEX('Vehicle Register'!$D$5:$D$500, MATCH(31, 'Vehicle Register'!$Y$5:$Y$500, 0)), "")</f>
        <v/>
      </c>
      <c r="E35" s="18" t="str">
        <f aca="false">IFERROR(INDEX('Vehicle Register'!$E$5:$E$500, MATCH(31, 'Vehicle Register'!$Y$5:$Y$500, 0)), "")</f>
        <v/>
      </c>
      <c r="F35" s="18" t="str">
        <f aca="false">IFERROR(INDEX('Vehicle Register'!$F$5:$F$500, MATCH(31, 'Vehicle Register'!$Y$5:$Y$500, 0)), "")</f>
        <v/>
      </c>
      <c r="G35" s="18" t="str">
        <f aca="false">IFERROR(INDEX('Vehicle Register'!$G$5:$G$500, MATCH(31, 'Vehicle Register'!$Y$5:$Y$500, 0)), "")</f>
        <v/>
      </c>
      <c r="H35" s="18" t="str">
        <f aca="false">IFERROR(INDEX('Vehicle Register'!$H$5:$H$500, MATCH(31, 'Vehicle Register'!$Y$5:$Y$500, 0)), "")</f>
        <v/>
      </c>
      <c r="I35" s="18" t="str">
        <f aca="false">IFERROR(INDEX('Vehicle Register'!$I$5:$I$500, MATCH(31, 'Vehicle Register'!$Y$5:$Y$500, 0)), "")</f>
        <v/>
      </c>
      <c r="J35" s="18" t="str">
        <f aca="false">IFERROR(INDEX('Vehicle Register'!$J$5:$J$500, MATCH(31, 'Vehicle Register'!$Y$5:$Y$500, 0)), "")</f>
        <v/>
      </c>
      <c r="K35" s="19" t="str">
        <f aca="false">IFERROR(INDEX('Vehicle Register'!$K$5:$K$500, MATCH(31, 'Vehicle Register'!$Y$5:$Y$500, 0)), "")</f>
        <v/>
      </c>
      <c r="L35" s="20" t="str">
        <f aca="false">IFERROR(INDEX('Vehicle Register'!$L$5:$L$500, MATCH(31, 'Vehicle Register'!$Y$5:$Y$500, 0)), "")</f>
        <v/>
      </c>
      <c r="M35" s="20" t="str">
        <f aca="false">IFERROR(INDEX('Vehicle Register'!$M$5:$M$500, MATCH(31, 'Vehicle Register'!$Y$5:$Y$500, 0)), "")</f>
        <v/>
      </c>
      <c r="N35" s="20" t="str">
        <f aca="false">IFERROR(INDEX('Vehicle Register'!$N$5:$N$500, MATCH(31, 'Vehicle Register'!$Y$5:$Y$500, 0)), "")</f>
        <v/>
      </c>
      <c r="O35" s="18" t="str">
        <f aca="false">IFERROR(INDEX('Vehicle Register'!$O$5:$O$500, MATCH(31, 'Vehicle Register'!$Y$5:$Y$500, 0)), "")</f>
        <v/>
      </c>
      <c r="P35" s="18" t="str">
        <f aca="false">IFERROR(INDEX('Vehicle Register'!$P$5:$P$500, MATCH(31, 'Vehicle Register'!$Y$5:$Y$500, 0)), "")</f>
        <v/>
      </c>
      <c r="Q35" s="20" t="str">
        <f aca="false">IFERROR(INDEX('Vehicle Register'!$Q$5:$Q$500, MATCH(31, 'Vehicle Register'!$Y$5:$Y$500, 0)), "")</f>
        <v/>
      </c>
      <c r="R35" s="19" t="str">
        <f aca="false">IFERROR(INDEX('Vehicle Register'!$R$5:$R$500, MATCH(31, 'Vehicle Register'!$Y$5:$Y$500, 0)), "")</f>
        <v/>
      </c>
      <c r="S35" s="20" t="str">
        <f aca="false">IFERROR(INDEX('Vehicle Register'!$S$5:$S$500, MATCH(31, 'Vehicle Register'!$Y$5:$Y$500, 0)), "")</f>
        <v/>
      </c>
      <c r="T35" s="18" t="str">
        <f aca="false">IFERROR(INDEX('Vehicle Register'!$T$5:$T$500, MATCH(31, 'Vehicle Register'!$Y$5:$Y$500, 0)), "")</f>
        <v/>
      </c>
      <c r="U35" s="20" t="str">
        <f aca="false">IFERROR(INDEX('Vehicle Register'!$U$5:$U$500, MATCH(31, 'Vehicle Register'!$Y$5:$Y$500, 0)), "")</f>
        <v/>
      </c>
      <c r="V35" s="21" t="str">
        <f aca="false">IFERROR(INDEX('Vehicle Register'!$V$5:$V$500, MATCH(31, 'Vehicle Register'!$Y$5:$Y$500, 0)), "")</f>
        <v/>
      </c>
      <c r="W35" s="22" t="str">
        <f aca="false">IFERROR(INDEX('Vehicle Register'!$W$5:$W$500, MATCH(31, 'Vehicle Register'!$Y$5:$Y$500, 0)), "")</f>
        <v/>
      </c>
    </row>
    <row r="36" customFormat="false" ht="15" hidden="false" customHeight="false" outlineLevel="0" collapsed="false">
      <c r="A36" s="18" t="str">
        <f aca="false">IFERROR(INDEX('Vehicle Register'!$A$5:$A$500, MATCH(32, 'Vehicle Register'!$Y$5:$Y$500, 0)), "")</f>
        <v/>
      </c>
      <c r="B36" s="18" t="str">
        <f aca="false">IFERROR(INDEX('Vehicle Register'!$B$5:$B$500, MATCH(32, 'Vehicle Register'!$Y$5:$Y$500, 0)), "")</f>
        <v/>
      </c>
      <c r="C36" s="18" t="str">
        <f aca="false">IFERROR(INDEX('Vehicle Register'!$C$5:$C$500, MATCH(32, 'Vehicle Register'!$Y$5:$Y$500, 0)), "")</f>
        <v/>
      </c>
      <c r="D36" s="18" t="str">
        <f aca="false">IFERROR(INDEX('Vehicle Register'!$D$5:$D$500, MATCH(32, 'Vehicle Register'!$Y$5:$Y$500, 0)), "")</f>
        <v/>
      </c>
      <c r="E36" s="18" t="str">
        <f aca="false">IFERROR(INDEX('Vehicle Register'!$E$5:$E$500, MATCH(32, 'Vehicle Register'!$Y$5:$Y$500, 0)), "")</f>
        <v/>
      </c>
      <c r="F36" s="18" t="str">
        <f aca="false">IFERROR(INDEX('Vehicle Register'!$F$5:$F$500, MATCH(32, 'Vehicle Register'!$Y$5:$Y$500, 0)), "")</f>
        <v/>
      </c>
      <c r="G36" s="18" t="str">
        <f aca="false">IFERROR(INDEX('Vehicle Register'!$G$5:$G$500, MATCH(32, 'Vehicle Register'!$Y$5:$Y$500, 0)), "")</f>
        <v/>
      </c>
      <c r="H36" s="18" t="str">
        <f aca="false">IFERROR(INDEX('Vehicle Register'!$H$5:$H$500, MATCH(32, 'Vehicle Register'!$Y$5:$Y$500, 0)), "")</f>
        <v/>
      </c>
      <c r="I36" s="18" t="str">
        <f aca="false">IFERROR(INDEX('Vehicle Register'!$I$5:$I$500, MATCH(32, 'Vehicle Register'!$Y$5:$Y$500, 0)), "")</f>
        <v/>
      </c>
      <c r="J36" s="18" t="str">
        <f aca="false">IFERROR(INDEX('Vehicle Register'!$J$5:$J$500, MATCH(32, 'Vehicle Register'!$Y$5:$Y$500, 0)), "")</f>
        <v/>
      </c>
      <c r="K36" s="19" t="str">
        <f aca="false">IFERROR(INDEX('Vehicle Register'!$K$5:$K$500, MATCH(32, 'Vehicle Register'!$Y$5:$Y$500, 0)), "")</f>
        <v/>
      </c>
      <c r="L36" s="20" t="str">
        <f aca="false">IFERROR(INDEX('Vehicle Register'!$L$5:$L$500, MATCH(32, 'Vehicle Register'!$Y$5:$Y$500, 0)), "")</f>
        <v/>
      </c>
      <c r="M36" s="20" t="str">
        <f aca="false">IFERROR(INDEX('Vehicle Register'!$M$5:$M$500, MATCH(32, 'Vehicle Register'!$Y$5:$Y$500, 0)), "")</f>
        <v/>
      </c>
      <c r="N36" s="20" t="str">
        <f aca="false">IFERROR(INDEX('Vehicle Register'!$N$5:$N$500, MATCH(32, 'Vehicle Register'!$Y$5:$Y$500, 0)), "")</f>
        <v/>
      </c>
      <c r="O36" s="18" t="str">
        <f aca="false">IFERROR(INDEX('Vehicle Register'!$O$5:$O$500, MATCH(32, 'Vehicle Register'!$Y$5:$Y$500, 0)), "")</f>
        <v/>
      </c>
      <c r="P36" s="18" t="str">
        <f aca="false">IFERROR(INDEX('Vehicle Register'!$P$5:$P$500, MATCH(32, 'Vehicle Register'!$Y$5:$Y$500, 0)), "")</f>
        <v/>
      </c>
      <c r="Q36" s="20" t="str">
        <f aca="false">IFERROR(INDEX('Vehicle Register'!$Q$5:$Q$500, MATCH(32, 'Vehicle Register'!$Y$5:$Y$500, 0)), "")</f>
        <v/>
      </c>
      <c r="R36" s="19" t="str">
        <f aca="false">IFERROR(INDEX('Vehicle Register'!$R$5:$R$500, MATCH(32, 'Vehicle Register'!$Y$5:$Y$500, 0)), "")</f>
        <v/>
      </c>
      <c r="S36" s="20" t="str">
        <f aca="false">IFERROR(INDEX('Vehicle Register'!$S$5:$S$500, MATCH(32, 'Vehicle Register'!$Y$5:$Y$500, 0)), "")</f>
        <v/>
      </c>
      <c r="T36" s="18" t="str">
        <f aca="false">IFERROR(INDEX('Vehicle Register'!$T$5:$T$500, MATCH(32, 'Vehicle Register'!$Y$5:$Y$500, 0)), "")</f>
        <v/>
      </c>
      <c r="U36" s="20" t="str">
        <f aca="false">IFERROR(INDEX('Vehicle Register'!$U$5:$U$500, MATCH(32, 'Vehicle Register'!$Y$5:$Y$500, 0)), "")</f>
        <v/>
      </c>
      <c r="V36" s="21" t="str">
        <f aca="false">IFERROR(INDEX('Vehicle Register'!$V$5:$V$500, MATCH(32, 'Vehicle Register'!$Y$5:$Y$500, 0)), "")</f>
        <v/>
      </c>
      <c r="W36" s="22" t="str">
        <f aca="false">IFERROR(INDEX('Vehicle Register'!$W$5:$W$500, MATCH(32, 'Vehicle Register'!$Y$5:$Y$500, 0)), "")</f>
        <v/>
      </c>
    </row>
    <row r="37" customFormat="false" ht="15" hidden="false" customHeight="false" outlineLevel="0" collapsed="false">
      <c r="A37" s="18" t="str">
        <f aca="false">IFERROR(INDEX('Vehicle Register'!$A$5:$A$500, MATCH(33, 'Vehicle Register'!$Y$5:$Y$500, 0)), "")</f>
        <v/>
      </c>
      <c r="B37" s="18" t="str">
        <f aca="false">IFERROR(INDEX('Vehicle Register'!$B$5:$B$500, MATCH(33, 'Vehicle Register'!$Y$5:$Y$500, 0)), "")</f>
        <v/>
      </c>
      <c r="C37" s="18" t="str">
        <f aca="false">IFERROR(INDEX('Vehicle Register'!$C$5:$C$500, MATCH(33, 'Vehicle Register'!$Y$5:$Y$500, 0)), "")</f>
        <v/>
      </c>
      <c r="D37" s="18" t="str">
        <f aca="false">IFERROR(INDEX('Vehicle Register'!$D$5:$D$500, MATCH(33, 'Vehicle Register'!$Y$5:$Y$500, 0)), "")</f>
        <v/>
      </c>
      <c r="E37" s="18" t="str">
        <f aca="false">IFERROR(INDEX('Vehicle Register'!$E$5:$E$500, MATCH(33, 'Vehicle Register'!$Y$5:$Y$500, 0)), "")</f>
        <v/>
      </c>
      <c r="F37" s="18" t="str">
        <f aca="false">IFERROR(INDEX('Vehicle Register'!$F$5:$F$500, MATCH(33, 'Vehicle Register'!$Y$5:$Y$500, 0)), "")</f>
        <v/>
      </c>
      <c r="G37" s="18" t="str">
        <f aca="false">IFERROR(INDEX('Vehicle Register'!$G$5:$G$500, MATCH(33, 'Vehicle Register'!$Y$5:$Y$500, 0)), "")</f>
        <v/>
      </c>
      <c r="H37" s="18" t="str">
        <f aca="false">IFERROR(INDEX('Vehicle Register'!$H$5:$H$500, MATCH(33, 'Vehicle Register'!$Y$5:$Y$500, 0)), "")</f>
        <v/>
      </c>
      <c r="I37" s="18" t="str">
        <f aca="false">IFERROR(INDEX('Vehicle Register'!$I$5:$I$500, MATCH(33, 'Vehicle Register'!$Y$5:$Y$500, 0)), "")</f>
        <v/>
      </c>
      <c r="J37" s="18" t="str">
        <f aca="false">IFERROR(INDEX('Vehicle Register'!$J$5:$J$500, MATCH(33, 'Vehicle Register'!$Y$5:$Y$500, 0)), "")</f>
        <v/>
      </c>
      <c r="K37" s="19" t="str">
        <f aca="false">IFERROR(INDEX('Vehicle Register'!$K$5:$K$500, MATCH(33, 'Vehicle Register'!$Y$5:$Y$500, 0)), "")</f>
        <v/>
      </c>
      <c r="L37" s="20" t="str">
        <f aca="false">IFERROR(INDEX('Vehicle Register'!$L$5:$L$500, MATCH(33, 'Vehicle Register'!$Y$5:$Y$500, 0)), "")</f>
        <v/>
      </c>
      <c r="M37" s="20" t="str">
        <f aca="false">IFERROR(INDEX('Vehicle Register'!$M$5:$M$500, MATCH(33, 'Vehicle Register'!$Y$5:$Y$500, 0)), "")</f>
        <v/>
      </c>
      <c r="N37" s="20" t="str">
        <f aca="false">IFERROR(INDEX('Vehicle Register'!$N$5:$N$500, MATCH(33, 'Vehicle Register'!$Y$5:$Y$500, 0)), "")</f>
        <v/>
      </c>
      <c r="O37" s="18" t="str">
        <f aca="false">IFERROR(INDEX('Vehicle Register'!$O$5:$O$500, MATCH(33, 'Vehicle Register'!$Y$5:$Y$500, 0)), "")</f>
        <v/>
      </c>
      <c r="P37" s="18" t="str">
        <f aca="false">IFERROR(INDEX('Vehicle Register'!$P$5:$P$500, MATCH(33, 'Vehicle Register'!$Y$5:$Y$500, 0)), "")</f>
        <v/>
      </c>
      <c r="Q37" s="20" t="str">
        <f aca="false">IFERROR(INDEX('Vehicle Register'!$Q$5:$Q$500, MATCH(33, 'Vehicle Register'!$Y$5:$Y$500, 0)), "")</f>
        <v/>
      </c>
      <c r="R37" s="19" t="str">
        <f aca="false">IFERROR(INDEX('Vehicle Register'!$R$5:$R$500, MATCH(33, 'Vehicle Register'!$Y$5:$Y$500, 0)), "")</f>
        <v/>
      </c>
      <c r="S37" s="20" t="str">
        <f aca="false">IFERROR(INDEX('Vehicle Register'!$S$5:$S$500, MATCH(33, 'Vehicle Register'!$Y$5:$Y$500, 0)), "")</f>
        <v/>
      </c>
      <c r="T37" s="18" t="str">
        <f aca="false">IFERROR(INDEX('Vehicle Register'!$T$5:$T$500, MATCH(33, 'Vehicle Register'!$Y$5:$Y$500, 0)), "")</f>
        <v/>
      </c>
      <c r="U37" s="20" t="str">
        <f aca="false">IFERROR(INDEX('Vehicle Register'!$U$5:$U$500, MATCH(33, 'Vehicle Register'!$Y$5:$Y$500, 0)), "")</f>
        <v/>
      </c>
      <c r="V37" s="21" t="str">
        <f aca="false">IFERROR(INDEX('Vehicle Register'!$V$5:$V$500, MATCH(33, 'Vehicle Register'!$Y$5:$Y$500, 0)), "")</f>
        <v/>
      </c>
      <c r="W37" s="22" t="str">
        <f aca="false">IFERROR(INDEX('Vehicle Register'!$W$5:$W$500, MATCH(33, 'Vehicle Register'!$Y$5:$Y$500, 0)), "")</f>
        <v/>
      </c>
    </row>
    <row r="38" customFormat="false" ht="15" hidden="false" customHeight="false" outlineLevel="0" collapsed="false">
      <c r="A38" s="18" t="str">
        <f aca="false">IFERROR(INDEX('Vehicle Register'!$A$5:$A$500, MATCH(34, 'Vehicle Register'!$Y$5:$Y$500, 0)), "")</f>
        <v/>
      </c>
      <c r="B38" s="18" t="str">
        <f aca="false">IFERROR(INDEX('Vehicle Register'!$B$5:$B$500, MATCH(34, 'Vehicle Register'!$Y$5:$Y$500, 0)), "")</f>
        <v/>
      </c>
      <c r="C38" s="18" t="str">
        <f aca="false">IFERROR(INDEX('Vehicle Register'!$C$5:$C$500, MATCH(34, 'Vehicle Register'!$Y$5:$Y$500, 0)), "")</f>
        <v/>
      </c>
      <c r="D38" s="18" t="str">
        <f aca="false">IFERROR(INDEX('Vehicle Register'!$D$5:$D$500, MATCH(34, 'Vehicle Register'!$Y$5:$Y$500, 0)), "")</f>
        <v/>
      </c>
      <c r="E38" s="18" t="str">
        <f aca="false">IFERROR(INDEX('Vehicle Register'!$E$5:$E$500, MATCH(34, 'Vehicle Register'!$Y$5:$Y$500, 0)), "")</f>
        <v/>
      </c>
      <c r="F38" s="18" t="str">
        <f aca="false">IFERROR(INDEX('Vehicle Register'!$F$5:$F$500, MATCH(34, 'Vehicle Register'!$Y$5:$Y$500, 0)), "")</f>
        <v/>
      </c>
      <c r="G38" s="18" t="str">
        <f aca="false">IFERROR(INDEX('Vehicle Register'!$G$5:$G$500, MATCH(34, 'Vehicle Register'!$Y$5:$Y$500, 0)), "")</f>
        <v/>
      </c>
      <c r="H38" s="18" t="str">
        <f aca="false">IFERROR(INDEX('Vehicle Register'!$H$5:$H$500, MATCH(34, 'Vehicle Register'!$Y$5:$Y$500, 0)), "")</f>
        <v/>
      </c>
      <c r="I38" s="18" t="str">
        <f aca="false">IFERROR(INDEX('Vehicle Register'!$I$5:$I$500, MATCH(34, 'Vehicle Register'!$Y$5:$Y$500, 0)), "")</f>
        <v/>
      </c>
      <c r="J38" s="18" t="str">
        <f aca="false">IFERROR(INDEX('Vehicle Register'!$J$5:$J$500, MATCH(34, 'Vehicle Register'!$Y$5:$Y$500, 0)), "")</f>
        <v/>
      </c>
      <c r="K38" s="19" t="str">
        <f aca="false">IFERROR(INDEX('Vehicle Register'!$K$5:$K$500, MATCH(34, 'Vehicle Register'!$Y$5:$Y$500, 0)), "")</f>
        <v/>
      </c>
      <c r="L38" s="20" t="str">
        <f aca="false">IFERROR(INDEX('Vehicle Register'!$L$5:$L$500, MATCH(34, 'Vehicle Register'!$Y$5:$Y$500, 0)), "")</f>
        <v/>
      </c>
      <c r="M38" s="20" t="str">
        <f aca="false">IFERROR(INDEX('Vehicle Register'!$M$5:$M$500, MATCH(34, 'Vehicle Register'!$Y$5:$Y$500, 0)), "")</f>
        <v/>
      </c>
      <c r="N38" s="20" t="str">
        <f aca="false">IFERROR(INDEX('Vehicle Register'!$N$5:$N$500, MATCH(34, 'Vehicle Register'!$Y$5:$Y$500, 0)), "")</f>
        <v/>
      </c>
      <c r="O38" s="18" t="str">
        <f aca="false">IFERROR(INDEX('Vehicle Register'!$O$5:$O$500, MATCH(34, 'Vehicle Register'!$Y$5:$Y$500, 0)), "")</f>
        <v/>
      </c>
      <c r="P38" s="18" t="str">
        <f aca="false">IFERROR(INDEX('Vehicle Register'!$P$5:$P$500, MATCH(34, 'Vehicle Register'!$Y$5:$Y$500, 0)), "")</f>
        <v/>
      </c>
      <c r="Q38" s="20" t="str">
        <f aca="false">IFERROR(INDEX('Vehicle Register'!$Q$5:$Q$500, MATCH(34, 'Vehicle Register'!$Y$5:$Y$500, 0)), "")</f>
        <v/>
      </c>
      <c r="R38" s="19" t="str">
        <f aca="false">IFERROR(INDEX('Vehicle Register'!$R$5:$R$500, MATCH(34, 'Vehicle Register'!$Y$5:$Y$500, 0)), "")</f>
        <v/>
      </c>
      <c r="S38" s="20" t="str">
        <f aca="false">IFERROR(INDEX('Vehicle Register'!$S$5:$S$500, MATCH(34, 'Vehicle Register'!$Y$5:$Y$500, 0)), "")</f>
        <v/>
      </c>
      <c r="T38" s="18" t="str">
        <f aca="false">IFERROR(INDEX('Vehicle Register'!$T$5:$T$500, MATCH(34, 'Vehicle Register'!$Y$5:$Y$500, 0)), "")</f>
        <v/>
      </c>
      <c r="U38" s="20" t="str">
        <f aca="false">IFERROR(INDEX('Vehicle Register'!$U$5:$U$500, MATCH(34, 'Vehicle Register'!$Y$5:$Y$500, 0)), "")</f>
        <v/>
      </c>
      <c r="V38" s="21" t="str">
        <f aca="false">IFERROR(INDEX('Vehicle Register'!$V$5:$V$500, MATCH(34, 'Vehicle Register'!$Y$5:$Y$500, 0)), "")</f>
        <v/>
      </c>
      <c r="W38" s="22" t="str">
        <f aca="false">IFERROR(INDEX('Vehicle Register'!$W$5:$W$500, MATCH(34, 'Vehicle Register'!$Y$5:$Y$500, 0)), "")</f>
        <v/>
      </c>
    </row>
    <row r="39" customFormat="false" ht="15" hidden="false" customHeight="false" outlineLevel="0" collapsed="false">
      <c r="A39" s="18" t="str">
        <f aca="false">IFERROR(INDEX('Vehicle Register'!$A$5:$A$500, MATCH(35, 'Vehicle Register'!$Y$5:$Y$500, 0)), "")</f>
        <v/>
      </c>
      <c r="B39" s="18" t="str">
        <f aca="false">IFERROR(INDEX('Vehicle Register'!$B$5:$B$500, MATCH(35, 'Vehicle Register'!$Y$5:$Y$500, 0)), "")</f>
        <v/>
      </c>
      <c r="C39" s="18" t="str">
        <f aca="false">IFERROR(INDEX('Vehicle Register'!$C$5:$C$500, MATCH(35, 'Vehicle Register'!$Y$5:$Y$500, 0)), "")</f>
        <v/>
      </c>
      <c r="D39" s="18" t="str">
        <f aca="false">IFERROR(INDEX('Vehicle Register'!$D$5:$D$500, MATCH(35, 'Vehicle Register'!$Y$5:$Y$500, 0)), "")</f>
        <v/>
      </c>
      <c r="E39" s="18" t="str">
        <f aca="false">IFERROR(INDEX('Vehicle Register'!$E$5:$E$500, MATCH(35, 'Vehicle Register'!$Y$5:$Y$500, 0)), "")</f>
        <v/>
      </c>
      <c r="F39" s="18" t="str">
        <f aca="false">IFERROR(INDEX('Vehicle Register'!$F$5:$F$500, MATCH(35, 'Vehicle Register'!$Y$5:$Y$500, 0)), "")</f>
        <v/>
      </c>
      <c r="G39" s="18" t="str">
        <f aca="false">IFERROR(INDEX('Vehicle Register'!$G$5:$G$500, MATCH(35, 'Vehicle Register'!$Y$5:$Y$500, 0)), "")</f>
        <v/>
      </c>
      <c r="H39" s="18" t="str">
        <f aca="false">IFERROR(INDEX('Vehicle Register'!$H$5:$H$500, MATCH(35, 'Vehicle Register'!$Y$5:$Y$500, 0)), "")</f>
        <v/>
      </c>
      <c r="I39" s="18" t="str">
        <f aca="false">IFERROR(INDEX('Vehicle Register'!$I$5:$I$500, MATCH(35, 'Vehicle Register'!$Y$5:$Y$500, 0)), "")</f>
        <v/>
      </c>
      <c r="J39" s="18" t="str">
        <f aca="false">IFERROR(INDEX('Vehicle Register'!$J$5:$J$500, MATCH(35, 'Vehicle Register'!$Y$5:$Y$500, 0)), "")</f>
        <v/>
      </c>
      <c r="K39" s="19" t="str">
        <f aca="false">IFERROR(INDEX('Vehicle Register'!$K$5:$K$500, MATCH(35, 'Vehicle Register'!$Y$5:$Y$500, 0)), "")</f>
        <v/>
      </c>
      <c r="L39" s="20" t="str">
        <f aca="false">IFERROR(INDEX('Vehicle Register'!$L$5:$L$500, MATCH(35, 'Vehicle Register'!$Y$5:$Y$500, 0)), "")</f>
        <v/>
      </c>
      <c r="M39" s="20" t="str">
        <f aca="false">IFERROR(INDEX('Vehicle Register'!$M$5:$M$500, MATCH(35, 'Vehicle Register'!$Y$5:$Y$500, 0)), "")</f>
        <v/>
      </c>
      <c r="N39" s="20" t="str">
        <f aca="false">IFERROR(INDEX('Vehicle Register'!$N$5:$N$500, MATCH(35, 'Vehicle Register'!$Y$5:$Y$500, 0)), "")</f>
        <v/>
      </c>
      <c r="O39" s="18" t="str">
        <f aca="false">IFERROR(INDEX('Vehicle Register'!$O$5:$O$500, MATCH(35, 'Vehicle Register'!$Y$5:$Y$500, 0)), "")</f>
        <v/>
      </c>
      <c r="P39" s="18" t="str">
        <f aca="false">IFERROR(INDEX('Vehicle Register'!$P$5:$P$500, MATCH(35, 'Vehicle Register'!$Y$5:$Y$500, 0)), "")</f>
        <v/>
      </c>
      <c r="Q39" s="20" t="str">
        <f aca="false">IFERROR(INDEX('Vehicle Register'!$Q$5:$Q$500, MATCH(35, 'Vehicle Register'!$Y$5:$Y$500, 0)), "")</f>
        <v/>
      </c>
      <c r="R39" s="19" t="str">
        <f aca="false">IFERROR(INDEX('Vehicle Register'!$R$5:$R$500, MATCH(35, 'Vehicle Register'!$Y$5:$Y$500, 0)), "")</f>
        <v/>
      </c>
      <c r="S39" s="20" t="str">
        <f aca="false">IFERROR(INDEX('Vehicle Register'!$S$5:$S$500, MATCH(35, 'Vehicle Register'!$Y$5:$Y$500, 0)), "")</f>
        <v/>
      </c>
      <c r="T39" s="18" t="str">
        <f aca="false">IFERROR(INDEX('Vehicle Register'!$T$5:$T$500, MATCH(35, 'Vehicle Register'!$Y$5:$Y$500, 0)), "")</f>
        <v/>
      </c>
      <c r="U39" s="20" t="str">
        <f aca="false">IFERROR(INDEX('Vehicle Register'!$U$5:$U$500, MATCH(35, 'Vehicle Register'!$Y$5:$Y$500, 0)), "")</f>
        <v/>
      </c>
      <c r="V39" s="21" t="str">
        <f aca="false">IFERROR(INDEX('Vehicle Register'!$V$5:$V$500, MATCH(35, 'Vehicle Register'!$Y$5:$Y$500, 0)), "")</f>
        <v/>
      </c>
      <c r="W39" s="22" t="str">
        <f aca="false">IFERROR(INDEX('Vehicle Register'!$W$5:$W$500, MATCH(35, 'Vehicle Register'!$Y$5:$Y$500, 0)), "")</f>
        <v/>
      </c>
    </row>
    <row r="40" customFormat="false" ht="15" hidden="false" customHeight="false" outlineLevel="0" collapsed="false">
      <c r="A40" s="18" t="str">
        <f aca="false">IFERROR(INDEX('Vehicle Register'!$A$5:$A$500, MATCH(36, 'Vehicle Register'!$Y$5:$Y$500, 0)), "")</f>
        <v/>
      </c>
      <c r="B40" s="18" t="str">
        <f aca="false">IFERROR(INDEX('Vehicle Register'!$B$5:$B$500, MATCH(36, 'Vehicle Register'!$Y$5:$Y$500, 0)), "")</f>
        <v/>
      </c>
      <c r="C40" s="18" t="str">
        <f aca="false">IFERROR(INDEX('Vehicle Register'!$C$5:$C$500, MATCH(36, 'Vehicle Register'!$Y$5:$Y$500, 0)), "")</f>
        <v/>
      </c>
      <c r="D40" s="18" t="str">
        <f aca="false">IFERROR(INDEX('Vehicle Register'!$D$5:$D$500, MATCH(36, 'Vehicle Register'!$Y$5:$Y$500, 0)), "")</f>
        <v/>
      </c>
      <c r="E40" s="18" t="str">
        <f aca="false">IFERROR(INDEX('Vehicle Register'!$E$5:$E$500, MATCH(36, 'Vehicle Register'!$Y$5:$Y$500, 0)), "")</f>
        <v/>
      </c>
      <c r="F40" s="18" t="str">
        <f aca="false">IFERROR(INDEX('Vehicle Register'!$F$5:$F$500, MATCH(36, 'Vehicle Register'!$Y$5:$Y$500, 0)), "")</f>
        <v/>
      </c>
      <c r="G40" s="18" t="str">
        <f aca="false">IFERROR(INDEX('Vehicle Register'!$G$5:$G$500, MATCH(36, 'Vehicle Register'!$Y$5:$Y$500, 0)), "")</f>
        <v/>
      </c>
      <c r="H40" s="18" t="str">
        <f aca="false">IFERROR(INDEX('Vehicle Register'!$H$5:$H$500, MATCH(36, 'Vehicle Register'!$Y$5:$Y$500, 0)), "")</f>
        <v/>
      </c>
      <c r="I40" s="18" t="str">
        <f aca="false">IFERROR(INDEX('Vehicle Register'!$I$5:$I$500, MATCH(36, 'Vehicle Register'!$Y$5:$Y$500, 0)), "")</f>
        <v/>
      </c>
      <c r="J40" s="18" t="str">
        <f aca="false">IFERROR(INDEX('Vehicle Register'!$J$5:$J$500, MATCH(36, 'Vehicle Register'!$Y$5:$Y$500, 0)), "")</f>
        <v/>
      </c>
      <c r="K40" s="19" t="str">
        <f aca="false">IFERROR(INDEX('Vehicle Register'!$K$5:$K$500, MATCH(36, 'Vehicle Register'!$Y$5:$Y$500, 0)), "")</f>
        <v/>
      </c>
      <c r="L40" s="20" t="str">
        <f aca="false">IFERROR(INDEX('Vehicle Register'!$L$5:$L$500, MATCH(36, 'Vehicle Register'!$Y$5:$Y$500, 0)), "")</f>
        <v/>
      </c>
      <c r="M40" s="20" t="str">
        <f aca="false">IFERROR(INDEX('Vehicle Register'!$M$5:$M$500, MATCH(36, 'Vehicle Register'!$Y$5:$Y$500, 0)), "")</f>
        <v/>
      </c>
      <c r="N40" s="20" t="str">
        <f aca="false">IFERROR(INDEX('Vehicle Register'!$N$5:$N$500, MATCH(36, 'Vehicle Register'!$Y$5:$Y$500, 0)), "")</f>
        <v/>
      </c>
      <c r="O40" s="18" t="str">
        <f aca="false">IFERROR(INDEX('Vehicle Register'!$O$5:$O$500, MATCH(36, 'Vehicle Register'!$Y$5:$Y$500, 0)), "")</f>
        <v/>
      </c>
      <c r="P40" s="18" t="str">
        <f aca="false">IFERROR(INDEX('Vehicle Register'!$P$5:$P$500, MATCH(36, 'Vehicle Register'!$Y$5:$Y$500, 0)), "")</f>
        <v/>
      </c>
      <c r="Q40" s="20" t="str">
        <f aca="false">IFERROR(INDEX('Vehicle Register'!$Q$5:$Q$500, MATCH(36, 'Vehicle Register'!$Y$5:$Y$500, 0)), "")</f>
        <v/>
      </c>
      <c r="R40" s="19" t="str">
        <f aca="false">IFERROR(INDEX('Vehicle Register'!$R$5:$R$500, MATCH(36, 'Vehicle Register'!$Y$5:$Y$500, 0)), "")</f>
        <v/>
      </c>
      <c r="S40" s="20" t="str">
        <f aca="false">IFERROR(INDEX('Vehicle Register'!$S$5:$S$500, MATCH(36, 'Vehicle Register'!$Y$5:$Y$500, 0)), "")</f>
        <v/>
      </c>
      <c r="T40" s="18" t="str">
        <f aca="false">IFERROR(INDEX('Vehicle Register'!$T$5:$T$500, MATCH(36, 'Vehicle Register'!$Y$5:$Y$500, 0)), "")</f>
        <v/>
      </c>
      <c r="U40" s="20" t="str">
        <f aca="false">IFERROR(INDEX('Vehicle Register'!$U$5:$U$500, MATCH(36, 'Vehicle Register'!$Y$5:$Y$500, 0)), "")</f>
        <v/>
      </c>
      <c r="V40" s="21" t="str">
        <f aca="false">IFERROR(INDEX('Vehicle Register'!$V$5:$V$500, MATCH(36, 'Vehicle Register'!$Y$5:$Y$500, 0)), "")</f>
        <v/>
      </c>
      <c r="W40" s="22" t="str">
        <f aca="false">IFERROR(INDEX('Vehicle Register'!$W$5:$W$500, MATCH(36, 'Vehicle Register'!$Y$5:$Y$500, 0)), "")</f>
        <v/>
      </c>
    </row>
    <row r="41" customFormat="false" ht="15" hidden="false" customHeight="false" outlineLevel="0" collapsed="false">
      <c r="A41" s="18" t="str">
        <f aca="false">IFERROR(INDEX('Vehicle Register'!$A$5:$A$500, MATCH(37, 'Vehicle Register'!$Y$5:$Y$500, 0)), "")</f>
        <v/>
      </c>
      <c r="B41" s="18" t="str">
        <f aca="false">IFERROR(INDEX('Vehicle Register'!$B$5:$B$500, MATCH(37, 'Vehicle Register'!$Y$5:$Y$500, 0)), "")</f>
        <v/>
      </c>
      <c r="C41" s="18" t="str">
        <f aca="false">IFERROR(INDEX('Vehicle Register'!$C$5:$C$500, MATCH(37, 'Vehicle Register'!$Y$5:$Y$500, 0)), "")</f>
        <v/>
      </c>
      <c r="D41" s="18" t="str">
        <f aca="false">IFERROR(INDEX('Vehicle Register'!$D$5:$D$500, MATCH(37, 'Vehicle Register'!$Y$5:$Y$500, 0)), "")</f>
        <v/>
      </c>
      <c r="E41" s="18" t="str">
        <f aca="false">IFERROR(INDEX('Vehicle Register'!$E$5:$E$500, MATCH(37, 'Vehicle Register'!$Y$5:$Y$500, 0)), "")</f>
        <v/>
      </c>
      <c r="F41" s="18" t="str">
        <f aca="false">IFERROR(INDEX('Vehicle Register'!$F$5:$F$500, MATCH(37, 'Vehicle Register'!$Y$5:$Y$500, 0)), "")</f>
        <v/>
      </c>
      <c r="G41" s="18" t="str">
        <f aca="false">IFERROR(INDEX('Vehicle Register'!$G$5:$G$500, MATCH(37, 'Vehicle Register'!$Y$5:$Y$500, 0)), "")</f>
        <v/>
      </c>
      <c r="H41" s="18" t="str">
        <f aca="false">IFERROR(INDEX('Vehicle Register'!$H$5:$H$500, MATCH(37, 'Vehicle Register'!$Y$5:$Y$500, 0)), "")</f>
        <v/>
      </c>
      <c r="I41" s="18" t="str">
        <f aca="false">IFERROR(INDEX('Vehicle Register'!$I$5:$I$500, MATCH(37, 'Vehicle Register'!$Y$5:$Y$500, 0)), "")</f>
        <v/>
      </c>
      <c r="J41" s="18" t="str">
        <f aca="false">IFERROR(INDEX('Vehicle Register'!$J$5:$J$500, MATCH(37, 'Vehicle Register'!$Y$5:$Y$500, 0)), "")</f>
        <v/>
      </c>
      <c r="K41" s="19" t="str">
        <f aca="false">IFERROR(INDEX('Vehicle Register'!$K$5:$K$500, MATCH(37, 'Vehicle Register'!$Y$5:$Y$500, 0)), "")</f>
        <v/>
      </c>
      <c r="L41" s="20" t="str">
        <f aca="false">IFERROR(INDEX('Vehicle Register'!$L$5:$L$500, MATCH(37, 'Vehicle Register'!$Y$5:$Y$500, 0)), "")</f>
        <v/>
      </c>
      <c r="M41" s="20" t="str">
        <f aca="false">IFERROR(INDEX('Vehicle Register'!$M$5:$M$500, MATCH(37, 'Vehicle Register'!$Y$5:$Y$500, 0)), "")</f>
        <v/>
      </c>
      <c r="N41" s="20" t="str">
        <f aca="false">IFERROR(INDEX('Vehicle Register'!$N$5:$N$500, MATCH(37, 'Vehicle Register'!$Y$5:$Y$500, 0)), "")</f>
        <v/>
      </c>
      <c r="O41" s="18" t="str">
        <f aca="false">IFERROR(INDEX('Vehicle Register'!$O$5:$O$500, MATCH(37, 'Vehicle Register'!$Y$5:$Y$500, 0)), "")</f>
        <v/>
      </c>
      <c r="P41" s="18" t="str">
        <f aca="false">IFERROR(INDEX('Vehicle Register'!$P$5:$P$500, MATCH(37, 'Vehicle Register'!$Y$5:$Y$500, 0)), "")</f>
        <v/>
      </c>
      <c r="Q41" s="20" t="str">
        <f aca="false">IFERROR(INDEX('Vehicle Register'!$Q$5:$Q$500, MATCH(37, 'Vehicle Register'!$Y$5:$Y$500, 0)), "")</f>
        <v/>
      </c>
      <c r="R41" s="19" t="str">
        <f aca="false">IFERROR(INDEX('Vehicle Register'!$R$5:$R$500, MATCH(37, 'Vehicle Register'!$Y$5:$Y$500, 0)), "")</f>
        <v/>
      </c>
      <c r="S41" s="20" t="str">
        <f aca="false">IFERROR(INDEX('Vehicle Register'!$S$5:$S$500, MATCH(37, 'Vehicle Register'!$Y$5:$Y$500, 0)), "")</f>
        <v/>
      </c>
      <c r="T41" s="18" t="str">
        <f aca="false">IFERROR(INDEX('Vehicle Register'!$T$5:$T$500, MATCH(37, 'Vehicle Register'!$Y$5:$Y$500, 0)), "")</f>
        <v/>
      </c>
      <c r="U41" s="20" t="str">
        <f aca="false">IFERROR(INDEX('Vehicle Register'!$U$5:$U$500, MATCH(37, 'Vehicle Register'!$Y$5:$Y$500, 0)), "")</f>
        <v/>
      </c>
      <c r="V41" s="21" t="str">
        <f aca="false">IFERROR(INDEX('Vehicle Register'!$V$5:$V$500, MATCH(37, 'Vehicle Register'!$Y$5:$Y$500, 0)), "")</f>
        <v/>
      </c>
      <c r="W41" s="22" t="str">
        <f aca="false">IFERROR(INDEX('Vehicle Register'!$W$5:$W$500, MATCH(37, 'Vehicle Register'!$Y$5:$Y$500, 0)), "")</f>
        <v/>
      </c>
    </row>
    <row r="42" customFormat="false" ht="15" hidden="false" customHeight="false" outlineLevel="0" collapsed="false">
      <c r="A42" s="18" t="str">
        <f aca="false">IFERROR(INDEX('Vehicle Register'!$A$5:$A$500, MATCH(38, 'Vehicle Register'!$Y$5:$Y$500, 0)), "")</f>
        <v/>
      </c>
      <c r="B42" s="18" t="str">
        <f aca="false">IFERROR(INDEX('Vehicle Register'!$B$5:$B$500, MATCH(38, 'Vehicle Register'!$Y$5:$Y$500, 0)), "")</f>
        <v/>
      </c>
      <c r="C42" s="18" t="str">
        <f aca="false">IFERROR(INDEX('Vehicle Register'!$C$5:$C$500, MATCH(38, 'Vehicle Register'!$Y$5:$Y$500, 0)), "")</f>
        <v/>
      </c>
      <c r="D42" s="18" t="str">
        <f aca="false">IFERROR(INDEX('Vehicle Register'!$D$5:$D$500, MATCH(38, 'Vehicle Register'!$Y$5:$Y$500, 0)), "")</f>
        <v/>
      </c>
      <c r="E42" s="18" t="str">
        <f aca="false">IFERROR(INDEX('Vehicle Register'!$E$5:$E$500, MATCH(38, 'Vehicle Register'!$Y$5:$Y$500, 0)), "")</f>
        <v/>
      </c>
      <c r="F42" s="18" t="str">
        <f aca="false">IFERROR(INDEX('Vehicle Register'!$F$5:$F$500, MATCH(38, 'Vehicle Register'!$Y$5:$Y$500, 0)), "")</f>
        <v/>
      </c>
      <c r="G42" s="18" t="str">
        <f aca="false">IFERROR(INDEX('Vehicle Register'!$G$5:$G$500, MATCH(38, 'Vehicle Register'!$Y$5:$Y$500, 0)), "")</f>
        <v/>
      </c>
      <c r="H42" s="18" t="str">
        <f aca="false">IFERROR(INDEX('Vehicle Register'!$H$5:$H$500, MATCH(38, 'Vehicle Register'!$Y$5:$Y$500, 0)), "")</f>
        <v/>
      </c>
      <c r="I42" s="18" t="str">
        <f aca="false">IFERROR(INDEX('Vehicle Register'!$I$5:$I$500, MATCH(38, 'Vehicle Register'!$Y$5:$Y$500, 0)), "")</f>
        <v/>
      </c>
      <c r="J42" s="18" t="str">
        <f aca="false">IFERROR(INDEX('Vehicle Register'!$J$5:$J$500, MATCH(38, 'Vehicle Register'!$Y$5:$Y$500, 0)), "")</f>
        <v/>
      </c>
      <c r="K42" s="19" t="str">
        <f aca="false">IFERROR(INDEX('Vehicle Register'!$K$5:$K$500, MATCH(38, 'Vehicle Register'!$Y$5:$Y$500, 0)), "")</f>
        <v/>
      </c>
      <c r="L42" s="20" t="str">
        <f aca="false">IFERROR(INDEX('Vehicle Register'!$L$5:$L$500, MATCH(38, 'Vehicle Register'!$Y$5:$Y$500, 0)), "")</f>
        <v/>
      </c>
      <c r="M42" s="20" t="str">
        <f aca="false">IFERROR(INDEX('Vehicle Register'!$M$5:$M$500, MATCH(38, 'Vehicle Register'!$Y$5:$Y$500, 0)), "")</f>
        <v/>
      </c>
      <c r="N42" s="20" t="str">
        <f aca="false">IFERROR(INDEX('Vehicle Register'!$N$5:$N$500, MATCH(38, 'Vehicle Register'!$Y$5:$Y$500, 0)), "")</f>
        <v/>
      </c>
      <c r="O42" s="18" t="str">
        <f aca="false">IFERROR(INDEX('Vehicle Register'!$O$5:$O$500, MATCH(38, 'Vehicle Register'!$Y$5:$Y$500, 0)), "")</f>
        <v/>
      </c>
      <c r="P42" s="18" t="str">
        <f aca="false">IFERROR(INDEX('Vehicle Register'!$P$5:$P$500, MATCH(38, 'Vehicle Register'!$Y$5:$Y$500, 0)), "")</f>
        <v/>
      </c>
      <c r="Q42" s="20" t="str">
        <f aca="false">IFERROR(INDEX('Vehicle Register'!$Q$5:$Q$500, MATCH(38, 'Vehicle Register'!$Y$5:$Y$500, 0)), "")</f>
        <v/>
      </c>
      <c r="R42" s="19" t="str">
        <f aca="false">IFERROR(INDEX('Vehicle Register'!$R$5:$R$500, MATCH(38, 'Vehicle Register'!$Y$5:$Y$500, 0)), "")</f>
        <v/>
      </c>
      <c r="S42" s="20" t="str">
        <f aca="false">IFERROR(INDEX('Vehicle Register'!$S$5:$S$500, MATCH(38, 'Vehicle Register'!$Y$5:$Y$500, 0)), "")</f>
        <v/>
      </c>
      <c r="T42" s="18" t="str">
        <f aca="false">IFERROR(INDEX('Vehicle Register'!$T$5:$T$500, MATCH(38, 'Vehicle Register'!$Y$5:$Y$500, 0)), "")</f>
        <v/>
      </c>
      <c r="U42" s="20" t="str">
        <f aca="false">IFERROR(INDEX('Vehicle Register'!$U$5:$U$500, MATCH(38, 'Vehicle Register'!$Y$5:$Y$500, 0)), "")</f>
        <v/>
      </c>
      <c r="V42" s="21" t="str">
        <f aca="false">IFERROR(INDEX('Vehicle Register'!$V$5:$V$500, MATCH(38, 'Vehicle Register'!$Y$5:$Y$500, 0)), "")</f>
        <v/>
      </c>
      <c r="W42" s="22" t="str">
        <f aca="false">IFERROR(INDEX('Vehicle Register'!$W$5:$W$500, MATCH(38, 'Vehicle Register'!$Y$5:$Y$500, 0)), "")</f>
        <v/>
      </c>
    </row>
    <row r="43" customFormat="false" ht="15" hidden="false" customHeight="false" outlineLevel="0" collapsed="false">
      <c r="A43" s="18" t="str">
        <f aca="false">IFERROR(INDEX('Vehicle Register'!$A$5:$A$500, MATCH(39, 'Vehicle Register'!$Y$5:$Y$500, 0)), "")</f>
        <v/>
      </c>
      <c r="B43" s="18" t="str">
        <f aca="false">IFERROR(INDEX('Vehicle Register'!$B$5:$B$500, MATCH(39, 'Vehicle Register'!$Y$5:$Y$500, 0)), "")</f>
        <v/>
      </c>
      <c r="C43" s="18" t="str">
        <f aca="false">IFERROR(INDEX('Vehicle Register'!$C$5:$C$500, MATCH(39, 'Vehicle Register'!$Y$5:$Y$500, 0)), "")</f>
        <v/>
      </c>
      <c r="D43" s="18" t="str">
        <f aca="false">IFERROR(INDEX('Vehicle Register'!$D$5:$D$500, MATCH(39, 'Vehicle Register'!$Y$5:$Y$500, 0)), "")</f>
        <v/>
      </c>
      <c r="E43" s="18" t="str">
        <f aca="false">IFERROR(INDEX('Vehicle Register'!$E$5:$E$500, MATCH(39, 'Vehicle Register'!$Y$5:$Y$500, 0)), "")</f>
        <v/>
      </c>
      <c r="F43" s="18" t="str">
        <f aca="false">IFERROR(INDEX('Vehicle Register'!$F$5:$F$500, MATCH(39, 'Vehicle Register'!$Y$5:$Y$500, 0)), "")</f>
        <v/>
      </c>
      <c r="G43" s="18" t="str">
        <f aca="false">IFERROR(INDEX('Vehicle Register'!$G$5:$G$500, MATCH(39, 'Vehicle Register'!$Y$5:$Y$500, 0)), "")</f>
        <v/>
      </c>
      <c r="H43" s="18" t="str">
        <f aca="false">IFERROR(INDEX('Vehicle Register'!$H$5:$H$500, MATCH(39, 'Vehicle Register'!$Y$5:$Y$500, 0)), "")</f>
        <v/>
      </c>
      <c r="I43" s="18" t="str">
        <f aca="false">IFERROR(INDEX('Vehicle Register'!$I$5:$I$500, MATCH(39, 'Vehicle Register'!$Y$5:$Y$500, 0)), "")</f>
        <v/>
      </c>
      <c r="J43" s="18" t="str">
        <f aca="false">IFERROR(INDEX('Vehicle Register'!$J$5:$J$500, MATCH(39, 'Vehicle Register'!$Y$5:$Y$500, 0)), "")</f>
        <v/>
      </c>
      <c r="K43" s="19" t="str">
        <f aca="false">IFERROR(INDEX('Vehicle Register'!$K$5:$K$500, MATCH(39, 'Vehicle Register'!$Y$5:$Y$500, 0)), "")</f>
        <v/>
      </c>
      <c r="L43" s="20" t="str">
        <f aca="false">IFERROR(INDEX('Vehicle Register'!$L$5:$L$500, MATCH(39, 'Vehicle Register'!$Y$5:$Y$500, 0)), "")</f>
        <v/>
      </c>
      <c r="M43" s="20" t="str">
        <f aca="false">IFERROR(INDEX('Vehicle Register'!$M$5:$M$500, MATCH(39, 'Vehicle Register'!$Y$5:$Y$500, 0)), "")</f>
        <v/>
      </c>
      <c r="N43" s="20" t="str">
        <f aca="false">IFERROR(INDEX('Vehicle Register'!$N$5:$N$500, MATCH(39, 'Vehicle Register'!$Y$5:$Y$500, 0)), "")</f>
        <v/>
      </c>
      <c r="O43" s="18" t="str">
        <f aca="false">IFERROR(INDEX('Vehicle Register'!$O$5:$O$500, MATCH(39, 'Vehicle Register'!$Y$5:$Y$500, 0)), "")</f>
        <v/>
      </c>
      <c r="P43" s="18" t="str">
        <f aca="false">IFERROR(INDEX('Vehicle Register'!$P$5:$P$500, MATCH(39, 'Vehicle Register'!$Y$5:$Y$500, 0)), "")</f>
        <v/>
      </c>
      <c r="Q43" s="20" t="str">
        <f aca="false">IFERROR(INDEX('Vehicle Register'!$Q$5:$Q$500, MATCH(39, 'Vehicle Register'!$Y$5:$Y$500, 0)), "")</f>
        <v/>
      </c>
      <c r="R43" s="19" t="str">
        <f aca="false">IFERROR(INDEX('Vehicle Register'!$R$5:$R$500, MATCH(39, 'Vehicle Register'!$Y$5:$Y$500, 0)), "")</f>
        <v/>
      </c>
      <c r="S43" s="20" t="str">
        <f aca="false">IFERROR(INDEX('Vehicle Register'!$S$5:$S$500, MATCH(39, 'Vehicle Register'!$Y$5:$Y$500, 0)), "")</f>
        <v/>
      </c>
      <c r="T43" s="18" t="str">
        <f aca="false">IFERROR(INDEX('Vehicle Register'!$T$5:$T$500, MATCH(39, 'Vehicle Register'!$Y$5:$Y$500, 0)), "")</f>
        <v/>
      </c>
      <c r="U43" s="20" t="str">
        <f aca="false">IFERROR(INDEX('Vehicle Register'!$U$5:$U$500, MATCH(39, 'Vehicle Register'!$Y$5:$Y$500, 0)), "")</f>
        <v/>
      </c>
      <c r="V43" s="21" t="str">
        <f aca="false">IFERROR(INDEX('Vehicle Register'!$V$5:$V$500, MATCH(39, 'Vehicle Register'!$Y$5:$Y$500, 0)), "")</f>
        <v/>
      </c>
      <c r="W43" s="22" t="str">
        <f aca="false">IFERROR(INDEX('Vehicle Register'!$W$5:$W$500, MATCH(39, 'Vehicle Register'!$Y$5:$Y$500, 0)), "")</f>
        <v/>
      </c>
    </row>
    <row r="44" customFormat="false" ht="15" hidden="false" customHeight="false" outlineLevel="0" collapsed="false">
      <c r="A44" s="18" t="str">
        <f aca="false">IFERROR(INDEX('Vehicle Register'!$A$5:$A$500, MATCH(40, 'Vehicle Register'!$Y$5:$Y$500, 0)), "")</f>
        <v/>
      </c>
      <c r="B44" s="18" t="str">
        <f aca="false">IFERROR(INDEX('Vehicle Register'!$B$5:$B$500, MATCH(40, 'Vehicle Register'!$Y$5:$Y$500, 0)), "")</f>
        <v/>
      </c>
      <c r="C44" s="18" t="str">
        <f aca="false">IFERROR(INDEX('Vehicle Register'!$C$5:$C$500, MATCH(40, 'Vehicle Register'!$Y$5:$Y$500, 0)), "")</f>
        <v/>
      </c>
      <c r="D44" s="18" t="str">
        <f aca="false">IFERROR(INDEX('Vehicle Register'!$D$5:$D$500, MATCH(40, 'Vehicle Register'!$Y$5:$Y$500, 0)), "")</f>
        <v/>
      </c>
      <c r="E44" s="18" t="str">
        <f aca="false">IFERROR(INDEX('Vehicle Register'!$E$5:$E$500, MATCH(40, 'Vehicle Register'!$Y$5:$Y$500, 0)), "")</f>
        <v/>
      </c>
      <c r="F44" s="18" t="str">
        <f aca="false">IFERROR(INDEX('Vehicle Register'!$F$5:$F$500, MATCH(40, 'Vehicle Register'!$Y$5:$Y$500, 0)), "")</f>
        <v/>
      </c>
      <c r="G44" s="18" t="str">
        <f aca="false">IFERROR(INDEX('Vehicle Register'!$G$5:$G$500, MATCH(40, 'Vehicle Register'!$Y$5:$Y$500, 0)), "")</f>
        <v/>
      </c>
      <c r="H44" s="18" t="str">
        <f aca="false">IFERROR(INDEX('Vehicle Register'!$H$5:$H$500, MATCH(40, 'Vehicle Register'!$Y$5:$Y$500, 0)), "")</f>
        <v/>
      </c>
      <c r="I44" s="18" t="str">
        <f aca="false">IFERROR(INDEX('Vehicle Register'!$I$5:$I$500, MATCH(40, 'Vehicle Register'!$Y$5:$Y$500, 0)), "")</f>
        <v/>
      </c>
      <c r="J44" s="18" t="str">
        <f aca="false">IFERROR(INDEX('Vehicle Register'!$J$5:$J$500, MATCH(40, 'Vehicle Register'!$Y$5:$Y$500, 0)), "")</f>
        <v/>
      </c>
      <c r="K44" s="19" t="str">
        <f aca="false">IFERROR(INDEX('Vehicle Register'!$K$5:$K$500, MATCH(40, 'Vehicle Register'!$Y$5:$Y$500, 0)), "")</f>
        <v/>
      </c>
      <c r="L44" s="20" t="str">
        <f aca="false">IFERROR(INDEX('Vehicle Register'!$L$5:$L$500, MATCH(40, 'Vehicle Register'!$Y$5:$Y$500, 0)), "")</f>
        <v/>
      </c>
      <c r="M44" s="20" t="str">
        <f aca="false">IFERROR(INDEX('Vehicle Register'!$M$5:$M$500, MATCH(40, 'Vehicle Register'!$Y$5:$Y$500, 0)), "")</f>
        <v/>
      </c>
      <c r="N44" s="20" t="str">
        <f aca="false">IFERROR(INDEX('Vehicle Register'!$N$5:$N$500, MATCH(40, 'Vehicle Register'!$Y$5:$Y$500, 0)), "")</f>
        <v/>
      </c>
      <c r="O44" s="18" t="str">
        <f aca="false">IFERROR(INDEX('Vehicle Register'!$O$5:$O$500, MATCH(40, 'Vehicle Register'!$Y$5:$Y$500, 0)), "")</f>
        <v/>
      </c>
      <c r="P44" s="18" t="str">
        <f aca="false">IFERROR(INDEX('Vehicle Register'!$P$5:$P$500, MATCH(40, 'Vehicle Register'!$Y$5:$Y$500, 0)), "")</f>
        <v/>
      </c>
      <c r="Q44" s="20" t="str">
        <f aca="false">IFERROR(INDEX('Vehicle Register'!$Q$5:$Q$500, MATCH(40, 'Vehicle Register'!$Y$5:$Y$500, 0)), "")</f>
        <v/>
      </c>
      <c r="R44" s="19" t="str">
        <f aca="false">IFERROR(INDEX('Vehicle Register'!$R$5:$R$500, MATCH(40, 'Vehicle Register'!$Y$5:$Y$500, 0)), "")</f>
        <v/>
      </c>
      <c r="S44" s="20" t="str">
        <f aca="false">IFERROR(INDEX('Vehicle Register'!$S$5:$S$500, MATCH(40, 'Vehicle Register'!$Y$5:$Y$500, 0)), "")</f>
        <v/>
      </c>
      <c r="T44" s="18" t="str">
        <f aca="false">IFERROR(INDEX('Vehicle Register'!$T$5:$T$500, MATCH(40, 'Vehicle Register'!$Y$5:$Y$500, 0)), "")</f>
        <v/>
      </c>
      <c r="U44" s="20" t="str">
        <f aca="false">IFERROR(INDEX('Vehicle Register'!$U$5:$U$500, MATCH(40, 'Vehicle Register'!$Y$5:$Y$500, 0)), "")</f>
        <v/>
      </c>
      <c r="V44" s="21" t="str">
        <f aca="false">IFERROR(INDEX('Vehicle Register'!$V$5:$V$500, MATCH(40, 'Vehicle Register'!$Y$5:$Y$500, 0)), "")</f>
        <v/>
      </c>
      <c r="W44" s="22" t="str">
        <f aca="false">IFERROR(INDEX('Vehicle Register'!$W$5:$W$500, MATCH(40, 'Vehicle Register'!$Y$5:$Y$500, 0)), "")</f>
        <v/>
      </c>
    </row>
    <row r="45" customFormat="false" ht="15" hidden="false" customHeight="false" outlineLevel="0" collapsed="false">
      <c r="A45" s="18" t="str">
        <f aca="false">IFERROR(INDEX('Vehicle Register'!$A$5:$A$500, MATCH(41, 'Vehicle Register'!$Y$5:$Y$500, 0)), "")</f>
        <v/>
      </c>
      <c r="B45" s="18" t="str">
        <f aca="false">IFERROR(INDEX('Vehicle Register'!$B$5:$B$500, MATCH(41, 'Vehicle Register'!$Y$5:$Y$500, 0)), "")</f>
        <v/>
      </c>
      <c r="C45" s="18" t="str">
        <f aca="false">IFERROR(INDEX('Vehicle Register'!$C$5:$C$500, MATCH(41, 'Vehicle Register'!$Y$5:$Y$500, 0)), "")</f>
        <v/>
      </c>
      <c r="D45" s="18" t="str">
        <f aca="false">IFERROR(INDEX('Vehicle Register'!$D$5:$D$500, MATCH(41, 'Vehicle Register'!$Y$5:$Y$500, 0)), "")</f>
        <v/>
      </c>
      <c r="E45" s="18" t="str">
        <f aca="false">IFERROR(INDEX('Vehicle Register'!$E$5:$E$500, MATCH(41, 'Vehicle Register'!$Y$5:$Y$500, 0)), "")</f>
        <v/>
      </c>
      <c r="F45" s="18" t="str">
        <f aca="false">IFERROR(INDEX('Vehicle Register'!$F$5:$F$500, MATCH(41, 'Vehicle Register'!$Y$5:$Y$500, 0)), "")</f>
        <v/>
      </c>
      <c r="G45" s="18" t="str">
        <f aca="false">IFERROR(INDEX('Vehicle Register'!$G$5:$G$500, MATCH(41, 'Vehicle Register'!$Y$5:$Y$500, 0)), "")</f>
        <v/>
      </c>
      <c r="H45" s="18" t="str">
        <f aca="false">IFERROR(INDEX('Vehicle Register'!$H$5:$H$500, MATCH(41, 'Vehicle Register'!$Y$5:$Y$500, 0)), "")</f>
        <v/>
      </c>
      <c r="I45" s="18" t="str">
        <f aca="false">IFERROR(INDEX('Vehicle Register'!$I$5:$I$500, MATCH(41, 'Vehicle Register'!$Y$5:$Y$500, 0)), "")</f>
        <v/>
      </c>
      <c r="J45" s="18" t="str">
        <f aca="false">IFERROR(INDEX('Vehicle Register'!$J$5:$J$500, MATCH(41, 'Vehicle Register'!$Y$5:$Y$500, 0)), "")</f>
        <v/>
      </c>
      <c r="K45" s="19" t="str">
        <f aca="false">IFERROR(INDEX('Vehicle Register'!$K$5:$K$500, MATCH(41, 'Vehicle Register'!$Y$5:$Y$500, 0)), "")</f>
        <v/>
      </c>
      <c r="L45" s="20" t="str">
        <f aca="false">IFERROR(INDEX('Vehicle Register'!$L$5:$L$500, MATCH(41, 'Vehicle Register'!$Y$5:$Y$500, 0)), "")</f>
        <v/>
      </c>
      <c r="M45" s="20" t="str">
        <f aca="false">IFERROR(INDEX('Vehicle Register'!$M$5:$M$500, MATCH(41, 'Vehicle Register'!$Y$5:$Y$500, 0)), "")</f>
        <v/>
      </c>
      <c r="N45" s="20" t="str">
        <f aca="false">IFERROR(INDEX('Vehicle Register'!$N$5:$N$500, MATCH(41, 'Vehicle Register'!$Y$5:$Y$500, 0)), "")</f>
        <v/>
      </c>
      <c r="O45" s="18" t="str">
        <f aca="false">IFERROR(INDEX('Vehicle Register'!$O$5:$O$500, MATCH(41, 'Vehicle Register'!$Y$5:$Y$500, 0)), "")</f>
        <v/>
      </c>
      <c r="P45" s="18" t="str">
        <f aca="false">IFERROR(INDEX('Vehicle Register'!$P$5:$P$500, MATCH(41, 'Vehicle Register'!$Y$5:$Y$500, 0)), "")</f>
        <v/>
      </c>
      <c r="Q45" s="20" t="str">
        <f aca="false">IFERROR(INDEX('Vehicle Register'!$Q$5:$Q$500, MATCH(41, 'Vehicle Register'!$Y$5:$Y$500, 0)), "")</f>
        <v/>
      </c>
      <c r="R45" s="19" t="str">
        <f aca="false">IFERROR(INDEX('Vehicle Register'!$R$5:$R$500, MATCH(41, 'Vehicle Register'!$Y$5:$Y$500, 0)), "")</f>
        <v/>
      </c>
      <c r="S45" s="20" t="str">
        <f aca="false">IFERROR(INDEX('Vehicle Register'!$S$5:$S$500, MATCH(41, 'Vehicle Register'!$Y$5:$Y$500, 0)), "")</f>
        <v/>
      </c>
      <c r="T45" s="18" t="str">
        <f aca="false">IFERROR(INDEX('Vehicle Register'!$T$5:$T$500, MATCH(41, 'Vehicle Register'!$Y$5:$Y$500, 0)), "")</f>
        <v/>
      </c>
      <c r="U45" s="20" t="str">
        <f aca="false">IFERROR(INDEX('Vehicle Register'!$U$5:$U$500, MATCH(41, 'Vehicle Register'!$Y$5:$Y$500, 0)), "")</f>
        <v/>
      </c>
      <c r="V45" s="21" t="str">
        <f aca="false">IFERROR(INDEX('Vehicle Register'!$V$5:$V$500, MATCH(41, 'Vehicle Register'!$Y$5:$Y$500, 0)), "")</f>
        <v/>
      </c>
      <c r="W45" s="22" t="str">
        <f aca="false">IFERROR(INDEX('Vehicle Register'!$W$5:$W$500, MATCH(41, 'Vehicle Register'!$Y$5:$Y$500, 0)), "")</f>
        <v/>
      </c>
    </row>
    <row r="46" customFormat="false" ht="15" hidden="false" customHeight="false" outlineLevel="0" collapsed="false">
      <c r="A46" s="18" t="str">
        <f aca="false">IFERROR(INDEX('Vehicle Register'!$A$5:$A$500, MATCH(42, 'Vehicle Register'!$Y$5:$Y$500, 0)), "")</f>
        <v/>
      </c>
      <c r="B46" s="18" t="str">
        <f aca="false">IFERROR(INDEX('Vehicle Register'!$B$5:$B$500, MATCH(42, 'Vehicle Register'!$Y$5:$Y$500, 0)), "")</f>
        <v/>
      </c>
      <c r="C46" s="18" t="str">
        <f aca="false">IFERROR(INDEX('Vehicle Register'!$C$5:$C$500, MATCH(42, 'Vehicle Register'!$Y$5:$Y$500, 0)), "")</f>
        <v/>
      </c>
      <c r="D46" s="18" t="str">
        <f aca="false">IFERROR(INDEX('Vehicle Register'!$D$5:$D$500, MATCH(42, 'Vehicle Register'!$Y$5:$Y$500, 0)), "")</f>
        <v/>
      </c>
      <c r="E46" s="18" t="str">
        <f aca="false">IFERROR(INDEX('Vehicle Register'!$E$5:$E$500, MATCH(42, 'Vehicle Register'!$Y$5:$Y$500, 0)), "")</f>
        <v/>
      </c>
      <c r="F46" s="18" t="str">
        <f aca="false">IFERROR(INDEX('Vehicle Register'!$F$5:$F$500, MATCH(42, 'Vehicle Register'!$Y$5:$Y$500, 0)), "")</f>
        <v/>
      </c>
      <c r="G46" s="18" t="str">
        <f aca="false">IFERROR(INDEX('Vehicle Register'!$G$5:$G$500, MATCH(42, 'Vehicle Register'!$Y$5:$Y$500, 0)), "")</f>
        <v/>
      </c>
      <c r="H46" s="18" t="str">
        <f aca="false">IFERROR(INDEX('Vehicle Register'!$H$5:$H$500, MATCH(42, 'Vehicle Register'!$Y$5:$Y$500, 0)), "")</f>
        <v/>
      </c>
      <c r="I46" s="18" t="str">
        <f aca="false">IFERROR(INDEX('Vehicle Register'!$I$5:$I$500, MATCH(42, 'Vehicle Register'!$Y$5:$Y$500, 0)), "")</f>
        <v/>
      </c>
      <c r="J46" s="18" t="str">
        <f aca="false">IFERROR(INDEX('Vehicle Register'!$J$5:$J$500, MATCH(42, 'Vehicle Register'!$Y$5:$Y$500, 0)), "")</f>
        <v/>
      </c>
      <c r="K46" s="19" t="str">
        <f aca="false">IFERROR(INDEX('Vehicle Register'!$K$5:$K$500, MATCH(42, 'Vehicle Register'!$Y$5:$Y$500, 0)), "")</f>
        <v/>
      </c>
      <c r="L46" s="20" t="str">
        <f aca="false">IFERROR(INDEX('Vehicle Register'!$L$5:$L$500, MATCH(42, 'Vehicle Register'!$Y$5:$Y$500, 0)), "")</f>
        <v/>
      </c>
      <c r="M46" s="20" t="str">
        <f aca="false">IFERROR(INDEX('Vehicle Register'!$M$5:$M$500, MATCH(42, 'Vehicle Register'!$Y$5:$Y$500, 0)), "")</f>
        <v/>
      </c>
      <c r="N46" s="20" t="str">
        <f aca="false">IFERROR(INDEX('Vehicle Register'!$N$5:$N$500, MATCH(42, 'Vehicle Register'!$Y$5:$Y$500, 0)), "")</f>
        <v/>
      </c>
      <c r="O46" s="18" t="str">
        <f aca="false">IFERROR(INDEX('Vehicle Register'!$O$5:$O$500, MATCH(42, 'Vehicle Register'!$Y$5:$Y$500, 0)), "")</f>
        <v/>
      </c>
      <c r="P46" s="18" t="str">
        <f aca="false">IFERROR(INDEX('Vehicle Register'!$P$5:$P$500, MATCH(42, 'Vehicle Register'!$Y$5:$Y$500, 0)), "")</f>
        <v/>
      </c>
      <c r="Q46" s="20" t="str">
        <f aca="false">IFERROR(INDEX('Vehicle Register'!$Q$5:$Q$500, MATCH(42, 'Vehicle Register'!$Y$5:$Y$500, 0)), "")</f>
        <v/>
      </c>
      <c r="R46" s="19" t="str">
        <f aca="false">IFERROR(INDEX('Vehicle Register'!$R$5:$R$500, MATCH(42, 'Vehicle Register'!$Y$5:$Y$500, 0)), "")</f>
        <v/>
      </c>
      <c r="S46" s="20" t="str">
        <f aca="false">IFERROR(INDEX('Vehicle Register'!$S$5:$S$500, MATCH(42, 'Vehicle Register'!$Y$5:$Y$500, 0)), "")</f>
        <v/>
      </c>
      <c r="T46" s="18" t="str">
        <f aca="false">IFERROR(INDEX('Vehicle Register'!$T$5:$T$500, MATCH(42, 'Vehicle Register'!$Y$5:$Y$500, 0)), "")</f>
        <v/>
      </c>
      <c r="U46" s="20" t="str">
        <f aca="false">IFERROR(INDEX('Vehicle Register'!$U$5:$U$500, MATCH(42, 'Vehicle Register'!$Y$5:$Y$500, 0)), "")</f>
        <v/>
      </c>
      <c r="V46" s="21" t="str">
        <f aca="false">IFERROR(INDEX('Vehicle Register'!$V$5:$V$500, MATCH(42, 'Vehicle Register'!$Y$5:$Y$500, 0)), "")</f>
        <v/>
      </c>
      <c r="W46" s="22" t="str">
        <f aca="false">IFERROR(INDEX('Vehicle Register'!$W$5:$W$500, MATCH(42, 'Vehicle Register'!$Y$5:$Y$500, 0)), "")</f>
        <v/>
      </c>
    </row>
    <row r="47" customFormat="false" ht="15" hidden="false" customHeight="false" outlineLevel="0" collapsed="false">
      <c r="A47" s="18" t="str">
        <f aca="false">IFERROR(INDEX('Vehicle Register'!$A$5:$A$500, MATCH(43, 'Vehicle Register'!$Y$5:$Y$500, 0)), "")</f>
        <v/>
      </c>
      <c r="B47" s="18" t="str">
        <f aca="false">IFERROR(INDEX('Vehicle Register'!$B$5:$B$500, MATCH(43, 'Vehicle Register'!$Y$5:$Y$500, 0)), "")</f>
        <v/>
      </c>
      <c r="C47" s="18" t="str">
        <f aca="false">IFERROR(INDEX('Vehicle Register'!$C$5:$C$500, MATCH(43, 'Vehicle Register'!$Y$5:$Y$500, 0)), "")</f>
        <v/>
      </c>
      <c r="D47" s="18" t="str">
        <f aca="false">IFERROR(INDEX('Vehicle Register'!$D$5:$D$500, MATCH(43, 'Vehicle Register'!$Y$5:$Y$500, 0)), "")</f>
        <v/>
      </c>
      <c r="E47" s="18" t="str">
        <f aca="false">IFERROR(INDEX('Vehicle Register'!$E$5:$E$500, MATCH(43, 'Vehicle Register'!$Y$5:$Y$500, 0)), "")</f>
        <v/>
      </c>
      <c r="F47" s="18" t="str">
        <f aca="false">IFERROR(INDEX('Vehicle Register'!$F$5:$F$500, MATCH(43, 'Vehicle Register'!$Y$5:$Y$500, 0)), "")</f>
        <v/>
      </c>
      <c r="G47" s="18" t="str">
        <f aca="false">IFERROR(INDEX('Vehicle Register'!$G$5:$G$500, MATCH(43, 'Vehicle Register'!$Y$5:$Y$500, 0)), "")</f>
        <v/>
      </c>
      <c r="H47" s="18" t="str">
        <f aca="false">IFERROR(INDEX('Vehicle Register'!$H$5:$H$500, MATCH(43, 'Vehicle Register'!$Y$5:$Y$500, 0)), "")</f>
        <v/>
      </c>
      <c r="I47" s="18" t="str">
        <f aca="false">IFERROR(INDEX('Vehicle Register'!$I$5:$I$500, MATCH(43, 'Vehicle Register'!$Y$5:$Y$500, 0)), "")</f>
        <v/>
      </c>
      <c r="J47" s="18" t="str">
        <f aca="false">IFERROR(INDEX('Vehicle Register'!$J$5:$J$500, MATCH(43, 'Vehicle Register'!$Y$5:$Y$500, 0)), "")</f>
        <v/>
      </c>
      <c r="K47" s="19" t="str">
        <f aca="false">IFERROR(INDEX('Vehicle Register'!$K$5:$K$500, MATCH(43, 'Vehicle Register'!$Y$5:$Y$500, 0)), "")</f>
        <v/>
      </c>
      <c r="L47" s="20" t="str">
        <f aca="false">IFERROR(INDEX('Vehicle Register'!$L$5:$L$500, MATCH(43, 'Vehicle Register'!$Y$5:$Y$500, 0)), "")</f>
        <v/>
      </c>
      <c r="M47" s="20" t="str">
        <f aca="false">IFERROR(INDEX('Vehicle Register'!$M$5:$M$500, MATCH(43, 'Vehicle Register'!$Y$5:$Y$500, 0)), "")</f>
        <v/>
      </c>
      <c r="N47" s="20" t="str">
        <f aca="false">IFERROR(INDEX('Vehicle Register'!$N$5:$N$500, MATCH(43, 'Vehicle Register'!$Y$5:$Y$500, 0)), "")</f>
        <v/>
      </c>
      <c r="O47" s="18" t="str">
        <f aca="false">IFERROR(INDEX('Vehicle Register'!$O$5:$O$500, MATCH(43, 'Vehicle Register'!$Y$5:$Y$500, 0)), "")</f>
        <v/>
      </c>
      <c r="P47" s="18" t="str">
        <f aca="false">IFERROR(INDEX('Vehicle Register'!$P$5:$P$500, MATCH(43, 'Vehicle Register'!$Y$5:$Y$500, 0)), "")</f>
        <v/>
      </c>
      <c r="Q47" s="20" t="str">
        <f aca="false">IFERROR(INDEX('Vehicle Register'!$Q$5:$Q$500, MATCH(43, 'Vehicle Register'!$Y$5:$Y$500, 0)), "")</f>
        <v/>
      </c>
      <c r="R47" s="19" t="str">
        <f aca="false">IFERROR(INDEX('Vehicle Register'!$R$5:$R$500, MATCH(43, 'Vehicle Register'!$Y$5:$Y$500, 0)), "")</f>
        <v/>
      </c>
      <c r="S47" s="20" t="str">
        <f aca="false">IFERROR(INDEX('Vehicle Register'!$S$5:$S$500, MATCH(43, 'Vehicle Register'!$Y$5:$Y$500, 0)), "")</f>
        <v/>
      </c>
      <c r="T47" s="18" t="str">
        <f aca="false">IFERROR(INDEX('Vehicle Register'!$T$5:$T$500, MATCH(43, 'Vehicle Register'!$Y$5:$Y$500, 0)), "")</f>
        <v/>
      </c>
      <c r="U47" s="20" t="str">
        <f aca="false">IFERROR(INDEX('Vehicle Register'!$U$5:$U$500, MATCH(43, 'Vehicle Register'!$Y$5:$Y$500, 0)), "")</f>
        <v/>
      </c>
      <c r="V47" s="21" t="str">
        <f aca="false">IFERROR(INDEX('Vehicle Register'!$V$5:$V$500, MATCH(43, 'Vehicle Register'!$Y$5:$Y$500, 0)), "")</f>
        <v/>
      </c>
      <c r="W47" s="22" t="str">
        <f aca="false">IFERROR(INDEX('Vehicle Register'!$W$5:$W$500, MATCH(43, 'Vehicle Register'!$Y$5:$Y$500, 0)), "")</f>
        <v/>
      </c>
    </row>
    <row r="48" customFormat="false" ht="15" hidden="false" customHeight="false" outlineLevel="0" collapsed="false">
      <c r="A48" s="18" t="str">
        <f aca="false">IFERROR(INDEX('Vehicle Register'!$A$5:$A$500, MATCH(44, 'Vehicle Register'!$Y$5:$Y$500, 0)), "")</f>
        <v/>
      </c>
      <c r="B48" s="18" t="str">
        <f aca="false">IFERROR(INDEX('Vehicle Register'!$B$5:$B$500, MATCH(44, 'Vehicle Register'!$Y$5:$Y$500, 0)), "")</f>
        <v/>
      </c>
      <c r="C48" s="18" t="str">
        <f aca="false">IFERROR(INDEX('Vehicle Register'!$C$5:$C$500, MATCH(44, 'Vehicle Register'!$Y$5:$Y$500, 0)), "")</f>
        <v/>
      </c>
      <c r="D48" s="18" t="str">
        <f aca="false">IFERROR(INDEX('Vehicle Register'!$D$5:$D$500, MATCH(44, 'Vehicle Register'!$Y$5:$Y$500, 0)), "")</f>
        <v/>
      </c>
      <c r="E48" s="18" t="str">
        <f aca="false">IFERROR(INDEX('Vehicle Register'!$E$5:$E$500, MATCH(44, 'Vehicle Register'!$Y$5:$Y$500, 0)), "")</f>
        <v/>
      </c>
      <c r="F48" s="18" t="str">
        <f aca="false">IFERROR(INDEX('Vehicle Register'!$F$5:$F$500, MATCH(44, 'Vehicle Register'!$Y$5:$Y$500, 0)), "")</f>
        <v/>
      </c>
      <c r="G48" s="18" t="str">
        <f aca="false">IFERROR(INDEX('Vehicle Register'!$G$5:$G$500, MATCH(44, 'Vehicle Register'!$Y$5:$Y$500, 0)), "")</f>
        <v/>
      </c>
      <c r="H48" s="18" t="str">
        <f aca="false">IFERROR(INDEX('Vehicle Register'!$H$5:$H$500, MATCH(44, 'Vehicle Register'!$Y$5:$Y$500, 0)), "")</f>
        <v/>
      </c>
      <c r="I48" s="18" t="str">
        <f aca="false">IFERROR(INDEX('Vehicle Register'!$I$5:$I$500, MATCH(44, 'Vehicle Register'!$Y$5:$Y$500, 0)), "")</f>
        <v/>
      </c>
      <c r="J48" s="18" t="str">
        <f aca="false">IFERROR(INDEX('Vehicle Register'!$J$5:$J$500, MATCH(44, 'Vehicle Register'!$Y$5:$Y$500, 0)), "")</f>
        <v/>
      </c>
      <c r="K48" s="19" t="str">
        <f aca="false">IFERROR(INDEX('Vehicle Register'!$K$5:$K$500, MATCH(44, 'Vehicle Register'!$Y$5:$Y$500, 0)), "")</f>
        <v/>
      </c>
      <c r="L48" s="20" t="str">
        <f aca="false">IFERROR(INDEX('Vehicle Register'!$L$5:$L$500, MATCH(44, 'Vehicle Register'!$Y$5:$Y$500, 0)), "")</f>
        <v/>
      </c>
      <c r="M48" s="20" t="str">
        <f aca="false">IFERROR(INDEX('Vehicle Register'!$M$5:$M$500, MATCH(44, 'Vehicle Register'!$Y$5:$Y$500, 0)), "")</f>
        <v/>
      </c>
      <c r="N48" s="20" t="str">
        <f aca="false">IFERROR(INDEX('Vehicle Register'!$N$5:$N$500, MATCH(44, 'Vehicle Register'!$Y$5:$Y$500, 0)), "")</f>
        <v/>
      </c>
      <c r="O48" s="18" t="str">
        <f aca="false">IFERROR(INDEX('Vehicle Register'!$O$5:$O$500, MATCH(44, 'Vehicle Register'!$Y$5:$Y$500, 0)), "")</f>
        <v/>
      </c>
      <c r="P48" s="18" t="str">
        <f aca="false">IFERROR(INDEX('Vehicle Register'!$P$5:$P$500, MATCH(44, 'Vehicle Register'!$Y$5:$Y$500, 0)), "")</f>
        <v/>
      </c>
      <c r="Q48" s="20" t="str">
        <f aca="false">IFERROR(INDEX('Vehicle Register'!$Q$5:$Q$500, MATCH(44, 'Vehicle Register'!$Y$5:$Y$500, 0)), "")</f>
        <v/>
      </c>
      <c r="R48" s="19" t="str">
        <f aca="false">IFERROR(INDEX('Vehicle Register'!$R$5:$R$500, MATCH(44, 'Vehicle Register'!$Y$5:$Y$500, 0)), "")</f>
        <v/>
      </c>
      <c r="S48" s="20" t="str">
        <f aca="false">IFERROR(INDEX('Vehicle Register'!$S$5:$S$500, MATCH(44, 'Vehicle Register'!$Y$5:$Y$500, 0)), "")</f>
        <v/>
      </c>
      <c r="T48" s="18" t="str">
        <f aca="false">IFERROR(INDEX('Vehicle Register'!$T$5:$T$500, MATCH(44, 'Vehicle Register'!$Y$5:$Y$500, 0)), "")</f>
        <v/>
      </c>
      <c r="U48" s="20" t="str">
        <f aca="false">IFERROR(INDEX('Vehicle Register'!$U$5:$U$500, MATCH(44, 'Vehicle Register'!$Y$5:$Y$500, 0)), "")</f>
        <v/>
      </c>
      <c r="V48" s="21" t="str">
        <f aca="false">IFERROR(INDEX('Vehicle Register'!$V$5:$V$500, MATCH(44, 'Vehicle Register'!$Y$5:$Y$500, 0)), "")</f>
        <v/>
      </c>
      <c r="W48" s="22" t="str">
        <f aca="false">IFERROR(INDEX('Vehicle Register'!$W$5:$W$500, MATCH(44, 'Vehicle Register'!$Y$5:$Y$500, 0)), "")</f>
        <v/>
      </c>
    </row>
    <row r="49" customFormat="false" ht="15" hidden="false" customHeight="false" outlineLevel="0" collapsed="false">
      <c r="A49" s="18" t="str">
        <f aca="false">IFERROR(INDEX('Vehicle Register'!$A$5:$A$500, MATCH(45, 'Vehicle Register'!$Y$5:$Y$500, 0)), "")</f>
        <v/>
      </c>
      <c r="B49" s="18" t="str">
        <f aca="false">IFERROR(INDEX('Vehicle Register'!$B$5:$B$500, MATCH(45, 'Vehicle Register'!$Y$5:$Y$500, 0)), "")</f>
        <v/>
      </c>
      <c r="C49" s="18" t="str">
        <f aca="false">IFERROR(INDEX('Vehicle Register'!$C$5:$C$500, MATCH(45, 'Vehicle Register'!$Y$5:$Y$500, 0)), "")</f>
        <v/>
      </c>
      <c r="D49" s="18" t="str">
        <f aca="false">IFERROR(INDEX('Vehicle Register'!$D$5:$D$500, MATCH(45, 'Vehicle Register'!$Y$5:$Y$500, 0)), "")</f>
        <v/>
      </c>
      <c r="E49" s="18" t="str">
        <f aca="false">IFERROR(INDEX('Vehicle Register'!$E$5:$E$500, MATCH(45, 'Vehicle Register'!$Y$5:$Y$500, 0)), "")</f>
        <v/>
      </c>
      <c r="F49" s="18" t="str">
        <f aca="false">IFERROR(INDEX('Vehicle Register'!$F$5:$F$500, MATCH(45, 'Vehicle Register'!$Y$5:$Y$500, 0)), "")</f>
        <v/>
      </c>
      <c r="G49" s="18" t="str">
        <f aca="false">IFERROR(INDEX('Vehicle Register'!$G$5:$G$500, MATCH(45, 'Vehicle Register'!$Y$5:$Y$500, 0)), "")</f>
        <v/>
      </c>
      <c r="H49" s="18" t="str">
        <f aca="false">IFERROR(INDEX('Vehicle Register'!$H$5:$H$500, MATCH(45, 'Vehicle Register'!$Y$5:$Y$500, 0)), "")</f>
        <v/>
      </c>
      <c r="I49" s="18" t="str">
        <f aca="false">IFERROR(INDEX('Vehicle Register'!$I$5:$I$500, MATCH(45, 'Vehicle Register'!$Y$5:$Y$500, 0)), "")</f>
        <v/>
      </c>
      <c r="J49" s="18" t="str">
        <f aca="false">IFERROR(INDEX('Vehicle Register'!$J$5:$J$500, MATCH(45, 'Vehicle Register'!$Y$5:$Y$500, 0)), "")</f>
        <v/>
      </c>
      <c r="K49" s="19" t="str">
        <f aca="false">IFERROR(INDEX('Vehicle Register'!$K$5:$K$500, MATCH(45, 'Vehicle Register'!$Y$5:$Y$500, 0)), "")</f>
        <v/>
      </c>
      <c r="L49" s="20" t="str">
        <f aca="false">IFERROR(INDEX('Vehicle Register'!$L$5:$L$500, MATCH(45, 'Vehicle Register'!$Y$5:$Y$500, 0)), "")</f>
        <v/>
      </c>
      <c r="M49" s="20" t="str">
        <f aca="false">IFERROR(INDEX('Vehicle Register'!$M$5:$M$500, MATCH(45, 'Vehicle Register'!$Y$5:$Y$500, 0)), "")</f>
        <v/>
      </c>
      <c r="N49" s="20" t="str">
        <f aca="false">IFERROR(INDEX('Vehicle Register'!$N$5:$N$500, MATCH(45, 'Vehicle Register'!$Y$5:$Y$500, 0)), "")</f>
        <v/>
      </c>
      <c r="O49" s="18" t="str">
        <f aca="false">IFERROR(INDEX('Vehicle Register'!$O$5:$O$500, MATCH(45, 'Vehicle Register'!$Y$5:$Y$500, 0)), "")</f>
        <v/>
      </c>
      <c r="P49" s="18" t="str">
        <f aca="false">IFERROR(INDEX('Vehicle Register'!$P$5:$P$500, MATCH(45, 'Vehicle Register'!$Y$5:$Y$500, 0)), "")</f>
        <v/>
      </c>
      <c r="Q49" s="20" t="str">
        <f aca="false">IFERROR(INDEX('Vehicle Register'!$Q$5:$Q$500, MATCH(45, 'Vehicle Register'!$Y$5:$Y$500, 0)), "")</f>
        <v/>
      </c>
      <c r="R49" s="19" t="str">
        <f aca="false">IFERROR(INDEX('Vehicle Register'!$R$5:$R$500, MATCH(45, 'Vehicle Register'!$Y$5:$Y$500, 0)), "")</f>
        <v/>
      </c>
      <c r="S49" s="20" t="str">
        <f aca="false">IFERROR(INDEX('Vehicle Register'!$S$5:$S$500, MATCH(45, 'Vehicle Register'!$Y$5:$Y$500, 0)), "")</f>
        <v/>
      </c>
      <c r="T49" s="18" t="str">
        <f aca="false">IFERROR(INDEX('Vehicle Register'!$T$5:$T$500, MATCH(45, 'Vehicle Register'!$Y$5:$Y$500, 0)), "")</f>
        <v/>
      </c>
      <c r="U49" s="20" t="str">
        <f aca="false">IFERROR(INDEX('Vehicle Register'!$U$5:$U$500, MATCH(45, 'Vehicle Register'!$Y$5:$Y$500, 0)), "")</f>
        <v/>
      </c>
      <c r="V49" s="21" t="str">
        <f aca="false">IFERROR(INDEX('Vehicle Register'!$V$5:$V$500, MATCH(45, 'Vehicle Register'!$Y$5:$Y$500, 0)), "")</f>
        <v/>
      </c>
      <c r="W49" s="22" t="str">
        <f aca="false">IFERROR(INDEX('Vehicle Register'!$W$5:$W$500, MATCH(45, 'Vehicle Register'!$Y$5:$Y$500, 0)), "")</f>
        <v/>
      </c>
    </row>
    <row r="50" customFormat="false" ht="15" hidden="false" customHeight="false" outlineLevel="0" collapsed="false">
      <c r="A50" s="18" t="str">
        <f aca="false">IFERROR(INDEX('Vehicle Register'!$A$5:$A$500, MATCH(46, 'Vehicle Register'!$Y$5:$Y$500, 0)), "")</f>
        <v/>
      </c>
      <c r="B50" s="18" t="str">
        <f aca="false">IFERROR(INDEX('Vehicle Register'!$B$5:$B$500, MATCH(46, 'Vehicle Register'!$Y$5:$Y$500, 0)), "")</f>
        <v/>
      </c>
      <c r="C50" s="18" t="str">
        <f aca="false">IFERROR(INDEX('Vehicle Register'!$C$5:$C$500, MATCH(46, 'Vehicle Register'!$Y$5:$Y$500, 0)), "")</f>
        <v/>
      </c>
      <c r="D50" s="18" t="str">
        <f aca="false">IFERROR(INDEX('Vehicle Register'!$D$5:$D$500, MATCH(46, 'Vehicle Register'!$Y$5:$Y$500, 0)), "")</f>
        <v/>
      </c>
      <c r="E50" s="18" t="str">
        <f aca="false">IFERROR(INDEX('Vehicle Register'!$E$5:$E$500, MATCH(46, 'Vehicle Register'!$Y$5:$Y$500, 0)), "")</f>
        <v/>
      </c>
      <c r="F50" s="18" t="str">
        <f aca="false">IFERROR(INDEX('Vehicle Register'!$F$5:$F$500, MATCH(46, 'Vehicle Register'!$Y$5:$Y$500, 0)), "")</f>
        <v/>
      </c>
      <c r="G50" s="18" t="str">
        <f aca="false">IFERROR(INDEX('Vehicle Register'!$G$5:$G$500, MATCH(46, 'Vehicle Register'!$Y$5:$Y$500, 0)), "")</f>
        <v/>
      </c>
      <c r="H50" s="18" t="str">
        <f aca="false">IFERROR(INDEX('Vehicle Register'!$H$5:$H$500, MATCH(46, 'Vehicle Register'!$Y$5:$Y$500, 0)), "")</f>
        <v/>
      </c>
      <c r="I50" s="18" t="str">
        <f aca="false">IFERROR(INDEX('Vehicle Register'!$I$5:$I$500, MATCH(46, 'Vehicle Register'!$Y$5:$Y$500, 0)), "")</f>
        <v/>
      </c>
      <c r="J50" s="18" t="str">
        <f aca="false">IFERROR(INDEX('Vehicle Register'!$J$5:$J$500, MATCH(46, 'Vehicle Register'!$Y$5:$Y$500, 0)), "")</f>
        <v/>
      </c>
      <c r="K50" s="19" t="str">
        <f aca="false">IFERROR(INDEX('Vehicle Register'!$K$5:$K$500, MATCH(46, 'Vehicle Register'!$Y$5:$Y$500, 0)), "")</f>
        <v/>
      </c>
      <c r="L50" s="20" t="str">
        <f aca="false">IFERROR(INDEX('Vehicle Register'!$L$5:$L$500, MATCH(46, 'Vehicle Register'!$Y$5:$Y$500, 0)), "")</f>
        <v/>
      </c>
      <c r="M50" s="20" t="str">
        <f aca="false">IFERROR(INDEX('Vehicle Register'!$M$5:$M$500, MATCH(46, 'Vehicle Register'!$Y$5:$Y$500, 0)), "")</f>
        <v/>
      </c>
      <c r="N50" s="20" t="str">
        <f aca="false">IFERROR(INDEX('Vehicle Register'!$N$5:$N$500, MATCH(46, 'Vehicle Register'!$Y$5:$Y$500, 0)), "")</f>
        <v/>
      </c>
      <c r="O50" s="18" t="str">
        <f aca="false">IFERROR(INDEX('Vehicle Register'!$O$5:$O$500, MATCH(46, 'Vehicle Register'!$Y$5:$Y$500, 0)), "")</f>
        <v/>
      </c>
      <c r="P50" s="18" t="str">
        <f aca="false">IFERROR(INDEX('Vehicle Register'!$P$5:$P$500, MATCH(46, 'Vehicle Register'!$Y$5:$Y$500, 0)), "")</f>
        <v/>
      </c>
      <c r="Q50" s="20" t="str">
        <f aca="false">IFERROR(INDEX('Vehicle Register'!$Q$5:$Q$500, MATCH(46, 'Vehicle Register'!$Y$5:$Y$500, 0)), "")</f>
        <v/>
      </c>
      <c r="R50" s="19" t="str">
        <f aca="false">IFERROR(INDEX('Vehicle Register'!$R$5:$R$500, MATCH(46, 'Vehicle Register'!$Y$5:$Y$500, 0)), "")</f>
        <v/>
      </c>
      <c r="S50" s="20" t="str">
        <f aca="false">IFERROR(INDEX('Vehicle Register'!$S$5:$S$500, MATCH(46, 'Vehicle Register'!$Y$5:$Y$500, 0)), "")</f>
        <v/>
      </c>
      <c r="T50" s="18" t="str">
        <f aca="false">IFERROR(INDEX('Vehicle Register'!$T$5:$T$500, MATCH(46, 'Vehicle Register'!$Y$5:$Y$500, 0)), "")</f>
        <v/>
      </c>
      <c r="U50" s="20" t="str">
        <f aca="false">IFERROR(INDEX('Vehicle Register'!$U$5:$U$500, MATCH(46, 'Vehicle Register'!$Y$5:$Y$500, 0)), "")</f>
        <v/>
      </c>
      <c r="V50" s="21" t="str">
        <f aca="false">IFERROR(INDEX('Vehicle Register'!$V$5:$V$500, MATCH(46, 'Vehicle Register'!$Y$5:$Y$500, 0)), "")</f>
        <v/>
      </c>
      <c r="W50" s="22" t="str">
        <f aca="false">IFERROR(INDEX('Vehicle Register'!$W$5:$W$500, MATCH(46, 'Vehicle Register'!$Y$5:$Y$500, 0)), "")</f>
        <v/>
      </c>
    </row>
    <row r="51" customFormat="false" ht="15" hidden="false" customHeight="false" outlineLevel="0" collapsed="false">
      <c r="A51" s="18" t="str">
        <f aca="false">IFERROR(INDEX('Vehicle Register'!$A$5:$A$500, MATCH(47, 'Vehicle Register'!$Y$5:$Y$500, 0)), "")</f>
        <v/>
      </c>
      <c r="B51" s="18" t="str">
        <f aca="false">IFERROR(INDEX('Vehicle Register'!$B$5:$B$500, MATCH(47, 'Vehicle Register'!$Y$5:$Y$500, 0)), "")</f>
        <v/>
      </c>
      <c r="C51" s="18" t="str">
        <f aca="false">IFERROR(INDEX('Vehicle Register'!$C$5:$C$500, MATCH(47, 'Vehicle Register'!$Y$5:$Y$500, 0)), "")</f>
        <v/>
      </c>
      <c r="D51" s="18" t="str">
        <f aca="false">IFERROR(INDEX('Vehicle Register'!$D$5:$D$500, MATCH(47, 'Vehicle Register'!$Y$5:$Y$500, 0)), "")</f>
        <v/>
      </c>
      <c r="E51" s="18" t="str">
        <f aca="false">IFERROR(INDEX('Vehicle Register'!$E$5:$E$500, MATCH(47, 'Vehicle Register'!$Y$5:$Y$500, 0)), "")</f>
        <v/>
      </c>
      <c r="F51" s="18" t="str">
        <f aca="false">IFERROR(INDEX('Vehicle Register'!$F$5:$F$500, MATCH(47, 'Vehicle Register'!$Y$5:$Y$500, 0)), "")</f>
        <v/>
      </c>
      <c r="G51" s="18" t="str">
        <f aca="false">IFERROR(INDEX('Vehicle Register'!$G$5:$G$500, MATCH(47, 'Vehicle Register'!$Y$5:$Y$500, 0)), "")</f>
        <v/>
      </c>
      <c r="H51" s="18" t="str">
        <f aca="false">IFERROR(INDEX('Vehicle Register'!$H$5:$H$500, MATCH(47, 'Vehicle Register'!$Y$5:$Y$500, 0)), "")</f>
        <v/>
      </c>
      <c r="I51" s="18" t="str">
        <f aca="false">IFERROR(INDEX('Vehicle Register'!$I$5:$I$500, MATCH(47, 'Vehicle Register'!$Y$5:$Y$500, 0)), "")</f>
        <v/>
      </c>
      <c r="J51" s="18" t="str">
        <f aca="false">IFERROR(INDEX('Vehicle Register'!$J$5:$J$500, MATCH(47, 'Vehicle Register'!$Y$5:$Y$500, 0)), "")</f>
        <v/>
      </c>
      <c r="K51" s="19" t="str">
        <f aca="false">IFERROR(INDEX('Vehicle Register'!$K$5:$K$500, MATCH(47, 'Vehicle Register'!$Y$5:$Y$500, 0)), "")</f>
        <v/>
      </c>
      <c r="L51" s="20" t="str">
        <f aca="false">IFERROR(INDEX('Vehicle Register'!$L$5:$L$500, MATCH(47, 'Vehicle Register'!$Y$5:$Y$500, 0)), "")</f>
        <v/>
      </c>
      <c r="M51" s="20" t="str">
        <f aca="false">IFERROR(INDEX('Vehicle Register'!$M$5:$M$500, MATCH(47, 'Vehicle Register'!$Y$5:$Y$500, 0)), "")</f>
        <v/>
      </c>
      <c r="N51" s="20" t="str">
        <f aca="false">IFERROR(INDEX('Vehicle Register'!$N$5:$N$500, MATCH(47, 'Vehicle Register'!$Y$5:$Y$500, 0)), "")</f>
        <v/>
      </c>
      <c r="O51" s="18" t="str">
        <f aca="false">IFERROR(INDEX('Vehicle Register'!$O$5:$O$500, MATCH(47, 'Vehicle Register'!$Y$5:$Y$500, 0)), "")</f>
        <v/>
      </c>
      <c r="P51" s="18" t="str">
        <f aca="false">IFERROR(INDEX('Vehicle Register'!$P$5:$P$500, MATCH(47, 'Vehicle Register'!$Y$5:$Y$500, 0)), "")</f>
        <v/>
      </c>
      <c r="Q51" s="20" t="str">
        <f aca="false">IFERROR(INDEX('Vehicle Register'!$Q$5:$Q$500, MATCH(47, 'Vehicle Register'!$Y$5:$Y$500, 0)), "")</f>
        <v/>
      </c>
      <c r="R51" s="19" t="str">
        <f aca="false">IFERROR(INDEX('Vehicle Register'!$R$5:$R$500, MATCH(47, 'Vehicle Register'!$Y$5:$Y$500, 0)), "")</f>
        <v/>
      </c>
      <c r="S51" s="20" t="str">
        <f aca="false">IFERROR(INDEX('Vehicle Register'!$S$5:$S$500, MATCH(47, 'Vehicle Register'!$Y$5:$Y$500, 0)), "")</f>
        <v/>
      </c>
      <c r="T51" s="18" t="str">
        <f aca="false">IFERROR(INDEX('Vehicle Register'!$T$5:$T$500, MATCH(47, 'Vehicle Register'!$Y$5:$Y$500, 0)), "")</f>
        <v/>
      </c>
      <c r="U51" s="20" t="str">
        <f aca="false">IFERROR(INDEX('Vehicle Register'!$U$5:$U$500, MATCH(47, 'Vehicle Register'!$Y$5:$Y$500, 0)), "")</f>
        <v/>
      </c>
      <c r="V51" s="21" t="str">
        <f aca="false">IFERROR(INDEX('Vehicle Register'!$V$5:$V$500, MATCH(47, 'Vehicle Register'!$Y$5:$Y$500, 0)), "")</f>
        <v/>
      </c>
      <c r="W51" s="22" t="str">
        <f aca="false">IFERROR(INDEX('Vehicle Register'!$W$5:$W$500, MATCH(47, 'Vehicle Register'!$Y$5:$Y$500, 0)), "")</f>
        <v/>
      </c>
    </row>
    <row r="52" customFormat="false" ht="15" hidden="false" customHeight="false" outlineLevel="0" collapsed="false">
      <c r="A52" s="18" t="str">
        <f aca="false">IFERROR(INDEX('Vehicle Register'!$A$5:$A$500, MATCH(48, 'Vehicle Register'!$Y$5:$Y$500, 0)), "")</f>
        <v/>
      </c>
      <c r="B52" s="18" t="str">
        <f aca="false">IFERROR(INDEX('Vehicle Register'!$B$5:$B$500, MATCH(48, 'Vehicle Register'!$Y$5:$Y$500, 0)), "")</f>
        <v/>
      </c>
      <c r="C52" s="18" t="str">
        <f aca="false">IFERROR(INDEX('Vehicle Register'!$C$5:$C$500, MATCH(48, 'Vehicle Register'!$Y$5:$Y$500, 0)), "")</f>
        <v/>
      </c>
      <c r="D52" s="18" t="str">
        <f aca="false">IFERROR(INDEX('Vehicle Register'!$D$5:$D$500, MATCH(48, 'Vehicle Register'!$Y$5:$Y$500, 0)), "")</f>
        <v/>
      </c>
      <c r="E52" s="18" t="str">
        <f aca="false">IFERROR(INDEX('Vehicle Register'!$E$5:$E$500, MATCH(48, 'Vehicle Register'!$Y$5:$Y$500, 0)), "")</f>
        <v/>
      </c>
      <c r="F52" s="18" t="str">
        <f aca="false">IFERROR(INDEX('Vehicle Register'!$F$5:$F$500, MATCH(48, 'Vehicle Register'!$Y$5:$Y$500, 0)), "")</f>
        <v/>
      </c>
      <c r="G52" s="18" t="str">
        <f aca="false">IFERROR(INDEX('Vehicle Register'!$G$5:$G$500, MATCH(48, 'Vehicle Register'!$Y$5:$Y$500, 0)), "")</f>
        <v/>
      </c>
      <c r="H52" s="18" t="str">
        <f aca="false">IFERROR(INDEX('Vehicle Register'!$H$5:$H$500, MATCH(48, 'Vehicle Register'!$Y$5:$Y$500, 0)), "")</f>
        <v/>
      </c>
      <c r="I52" s="18" t="str">
        <f aca="false">IFERROR(INDEX('Vehicle Register'!$I$5:$I$500, MATCH(48, 'Vehicle Register'!$Y$5:$Y$500, 0)), "")</f>
        <v/>
      </c>
      <c r="J52" s="18" t="str">
        <f aca="false">IFERROR(INDEX('Vehicle Register'!$J$5:$J$500, MATCH(48, 'Vehicle Register'!$Y$5:$Y$500, 0)), "")</f>
        <v/>
      </c>
      <c r="K52" s="19" t="str">
        <f aca="false">IFERROR(INDEX('Vehicle Register'!$K$5:$K$500, MATCH(48, 'Vehicle Register'!$Y$5:$Y$500, 0)), "")</f>
        <v/>
      </c>
      <c r="L52" s="20" t="str">
        <f aca="false">IFERROR(INDEX('Vehicle Register'!$L$5:$L$500, MATCH(48, 'Vehicle Register'!$Y$5:$Y$500, 0)), "")</f>
        <v/>
      </c>
      <c r="M52" s="20" t="str">
        <f aca="false">IFERROR(INDEX('Vehicle Register'!$M$5:$M$500, MATCH(48, 'Vehicle Register'!$Y$5:$Y$500, 0)), "")</f>
        <v/>
      </c>
      <c r="N52" s="20" t="str">
        <f aca="false">IFERROR(INDEX('Vehicle Register'!$N$5:$N$500, MATCH(48, 'Vehicle Register'!$Y$5:$Y$500, 0)), "")</f>
        <v/>
      </c>
      <c r="O52" s="18" t="str">
        <f aca="false">IFERROR(INDEX('Vehicle Register'!$O$5:$O$500, MATCH(48, 'Vehicle Register'!$Y$5:$Y$500, 0)), "")</f>
        <v/>
      </c>
      <c r="P52" s="18" t="str">
        <f aca="false">IFERROR(INDEX('Vehicle Register'!$P$5:$P$500, MATCH(48, 'Vehicle Register'!$Y$5:$Y$500, 0)), "")</f>
        <v/>
      </c>
      <c r="Q52" s="20" t="str">
        <f aca="false">IFERROR(INDEX('Vehicle Register'!$Q$5:$Q$500, MATCH(48, 'Vehicle Register'!$Y$5:$Y$500, 0)), "")</f>
        <v/>
      </c>
      <c r="R52" s="19" t="str">
        <f aca="false">IFERROR(INDEX('Vehicle Register'!$R$5:$R$500, MATCH(48, 'Vehicle Register'!$Y$5:$Y$500, 0)), "")</f>
        <v/>
      </c>
      <c r="S52" s="20" t="str">
        <f aca="false">IFERROR(INDEX('Vehicle Register'!$S$5:$S$500, MATCH(48, 'Vehicle Register'!$Y$5:$Y$500, 0)), "")</f>
        <v/>
      </c>
      <c r="T52" s="18" t="str">
        <f aca="false">IFERROR(INDEX('Vehicle Register'!$T$5:$T$500, MATCH(48, 'Vehicle Register'!$Y$5:$Y$500, 0)), "")</f>
        <v/>
      </c>
      <c r="U52" s="20" t="str">
        <f aca="false">IFERROR(INDEX('Vehicle Register'!$U$5:$U$500, MATCH(48, 'Vehicle Register'!$Y$5:$Y$500, 0)), "")</f>
        <v/>
      </c>
      <c r="V52" s="21" t="str">
        <f aca="false">IFERROR(INDEX('Vehicle Register'!$V$5:$V$500, MATCH(48, 'Vehicle Register'!$Y$5:$Y$500, 0)), "")</f>
        <v/>
      </c>
      <c r="W52" s="22" t="str">
        <f aca="false">IFERROR(INDEX('Vehicle Register'!$W$5:$W$500, MATCH(48, 'Vehicle Register'!$Y$5:$Y$500, 0)), "")</f>
        <v/>
      </c>
    </row>
    <row r="53" customFormat="false" ht="15" hidden="false" customHeight="false" outlineLevel="0" collapsed="false">
      <c r="A53" s="18" t="str">
        <f aca="false">IFERROR(INDEX('Vehicle Register'!$A$5:$A$500, MATCH(49, 'Vehicle Register'!$Y$5:$Y$500, 0)), "")</f>
        <v/>
      </c>
      <c r="B53" s="18" t="str">
        <f aca="false">IFERROR(INDEX('Vehicle Register'!$B$5:$B$500, MATCH(49, 'Vehicle Register'!$Y$5:$Y$500, 0)), "")</f>
        <v/>
      </c>
      <c r="C53" s="18" t="str">
        <f aca="false">IFERROR(INDEX('Vehicle Register'!$C$5:$C$500, MATCH(49, 'Vehicle Register'!$Y$5:$Y$500, 0)), "")</f>
        <v/>
      </c>
      <c r="D53" s="18" t="str">
        <f aca="false">IFERROR(INDEX('Vehicle Register'!$D$5:$D$500, MATCH(49, 'Vehicle Register'!$Y$5:$Y$500, 0)), "")</f>
        <v/>
      </c>
      <c r="E53" s="18" t="str">
        <f aca="false">IFERROR(INDEX('Vehicle Register'!$E$5:$E$500, MATCH(49, 'Vehicle Register'!$Y$5:$Y$500, 0)), "")</f>
        <v/>
      </c>
      <c r="F53" s="18" t="str">
        <f aca="false">IFERROR(INDEX('Vehicle Register'!$F$5:$F$500, MATCH(49, 'Vehicle Register'!$Y$5:$Y$500, 0)), "")</f>
        <v/>
      </c>
      <c r="G53" s="18" t="str">
        <f aca="false">IFERROR(INDEX('Vehicle Register'!$G$5:$G$500, MATCH(49, 'Vehicle Register'!$Y$5:$Y$500, 0)), "")</f>
        <v/>
      </c>
      <c r="H53" s="18" t="str">
        <f aca="false">IFERROR(INDEX('Vehicle Register'!$H$5:$H$500, MATCH(49, 'Vehicle Register'!$Y$5:$Y$500, 0)), "")</f>
        <v/>
      </c>
      <c r="I53" s="18" t="str">
        <f aca="false">IFERROR(INDEX('Vehicle Register'!$I$5:$I$500, MATCH(49, 'Vehicle Register'!$Y$5:$Y$500, 0)), "")</f>
        <v/>
      </c>
      <c r="J53" s="18" t="str">
        <f aca="false">IFERROR(INDEX('Vehicle Register'!$J$5:$J$500, MATCH(49, 'Vehicle Register'!$Y$5:$Y$500, 0)), "")</f>
        <v/>
      </c>
      <c r="K53" s="19" t="str">
        <f aca="false">IFERROR(INDEX('Vehicle Register'!$K$5:$K$500, MATCH(49, 'Vehicle Register'!$Y$5:$Y$500, 0)), "")</f>
        <v/>
      </c>
      <c r="L53" s="20" t="str">
        <f aca="false">IFERROR(INDEX('Vehicle Register'!$L$5:$L$500, MATCH(49, 'Vehicle Register'!$Y$5:$Y$500, 0)), "")</f>
        <v/>
      </c>
      <c r="M53" s="20" t="str">
        <f aca="false">IFERROR(INDEX('Vehicle Register'!$M$5:$M$500, MATCH(49, 'Vehicle Register'!$Y$5:$Y$500, 0)), "")</f>
        <v/>
      </c>
      <c r="N53" s="20" t="str">
        <f aca="false">IFERROR(INDEX('Vehicle Register'!$N$5:$N$500, MATCH(49, 'Vehicle Register'!$Y$5:$Y$500, 0)), "")</f>
        <v/>
      </c>
      <c r="O53" s="18" t="str">
        <f aca="false">IFERROR(INDEX('Vehicle Register'!$O$5:$O$500, MATCH(49, 'Vehicle Register'!$Y$5:$Y$500, 0)), "")</f>
        <v/>
      </c>
      <c r="P53" s="18" t="str">
        <f aca="false">IFERROR(INDEX('Vehicle Register'!$P$5:$P$500, MATCH(49, 'Vehicle Register'!$Y$5:$Y$500, 0)), "")</f>
        <v/>
      </c>
      <c r="Q53" s="20" t="str">
        <f aca="false">IFERROR(INDEX('Vehicle Register'!$Q$5:$Q$500, MATCH(49, 'Vehicle Register'!$Y$5:$Y$500, 0)), "")</f>
        <v/>
      </c>
      <c r="R53" s="19" t="str">
        <f aca="false">IFERROR(INDEX('Vehicle Register'!$R$5:$R$500, MATCH(49, 'Vehicle Register'!$Y$5:$Y$500, 0)), "")</f>
        <v/>
      </c>
      <c r="S53" s="20" t="str">
        <f aca="false">IFERROR(INDEX('Vehicle Register'!$S$5:$S$500, MATCH(49, 'Vehicle Register'!$Y$5:$Y$500, 0)), "")</f>
        <v/>
      </c>
      <c r="T53" s="18" t="str">
        <f aca="false">IFERROR(INDEX('Vehicle Register'!$T$5:$T$500, MATCH(49, 'Vehicle Register'!$Y$5:$Y$500, 0)), "")</f>
        <v/>
      </c>
      <c r="U53" s="20" t="str">
        <f aca="false">IFERROR(INDEX('Vehicle Register'!$U$5:$U$500, MATCH(49, 'Vehicle Register'!$Y$5:$Y$500, 0)), "")</f>
        <v/>
      </c>
      <c r="V53" s="21" t="str">
        <f aca="false">IFERROR(INDEX('Vehicle Register'!$V$5:$V$500, MATCH(49, 'Vehicle Register'!$Y$5:$Y$500, 0)), "")</f>
        <v/>
      </c>
      <c r="W53" s="22" t="str">
        <f aca="false">IFERROR(INDEX('Vehicle Register'!$W$5:$W$500, MATCH(49, 'Vehicle Register'!$Y$5:$Y$500, 0)), "")</f>
        <v/>
      </c>
    </row>
    <row r="54" customFormat="false" ht="15" hidden="false" customHeight="false" outlineLevel="0" collapsed="false">
      <c r="A54" s="18" t="str">
        <f aca="false">IFERROR(INDEX('Vehicle Register'!$A$5:$A$500, MATCH(50, 'Vehicle Register'!$Y$5:$Y$500, 0)), "")</f>
        <v/>
      </c>
      <c r="B54" s="18" t="str">
        <f aca="false">IFERROR(INDEX('Vehicle Register'!$B$5:$B$500, MATCH(50, 'Vehicle Register'!$Y$5:$Y$500, 0)), "")</f>
        <v/>
      </c>
      <c r="C54" s="18" t="str">
        <f aca="false">IFERROR(INDEX('Vehicle Register'!$C$5:$C$500, MATCH(50, 'Vehicle Register'!$Y$5:$Y$500, 0)), "")</f>
        <v/>
      </c>
      <c r="D54" s="18" t="str">
        <f aca="false">IFERROR(INDEX('Vehicle Register'!$D$5:$D$500, MATCH(50, 'Vehicle Register'!$Y$5:$Y$500, 0)), "")</f>
        <v/>
      </c>
      <c r="E54" s="18" t="str">
        <f aca="false">IFERROR(INDEX('Vehicle Register'!$E$5:$E$500, MATCH(50, 'Vehicle Register'!$Y$5:$Y$500, 0)), "")</f>
        <v/>
      </c>
      <c r="F54" s="18" t="str">
        <f aca="false">IFERROR(INDEX('Vehicle Register'!$F$5:$F$500, MATCH(50, 'Vehicle Register'!$Y$5:$Y$500, 0)), "")</f>
        <v/>
      </c>
      <c r="G54" s="18" t="str">
        <f aca="false">IFERROR(INDEX('Vehicle Register'!$G$5:$G$500, MATCH(50, 'Vehicle Register'!$Y$5:$Y$500, 0)), "")</f>
        <v/>
      </c>
      <c r="H54" s="18" t="str">
        <f aca="false">IFERROR(INDEX('Vehicle Register'!$H$5:$H$500, MATCH(50, 'Vehicle Register'!$Y$5:$Y$500, 0)), "")</f>
        <v/>
      </c>
      <c r="I54" s="18" t="str">
        <f aca="false">IFERROR(INDEX('Vehicle Register'!$I$5:$I$500, MATCH(50, 'Vehicle Register'!$Y$5:$Y$500, 0)), "")</f>
        <v/>
      </c>
      <c r="J54" s="18" t="str">
        <f aca="false">IFERROR(INDEX('Vehicle Register'!$J$5:$J$500, MATCH(50, 'Vehicle Register'!$Y$5:$Y$500, 0)), "")</f>
        <v/>
      </c>
      <c r="K54" s="19" t="str">
        <f aca="false">IFERROR(INDEX('Vehicle Register'!$K$5:$K$500, MATCH(50, 'Vehicle Register'!$Y$5:$Y$500, 0)), "")</f>
        <v/>
      </c>
      <c r="L54" s="20" t="str">
        <f aca="false">IFERROR(INDEX('Vehicle Register'!$L$5:$L$500, MATCH(50, 'Vehicle Register'!$Y$5:$Y$500, 0)), "")</f>
        <v/>
      </c>
      <c r="M54" s="20" t="str">
        <f aca="false">IFERROR(INDEX('Vehicle Register'!$M$5:$M$500, MATCH(50, 'Vehicle Register'!$Y$5:$Y$500, 0)), "")</f>
        <v/>
      </c>
      <c r="N54" s="20" t="str">
        <f aca="false">IFERROR(INDEX('Vehicle Register'!$N$5:$N$500, MATCH(50, 'Vehicle Register'!$Y$5:$Y$500, 0)), "")</f>
        <v/>
      </c>
      <c r="O54" s="18" t="str">
        <f aca="false">IFERROR(INDEX('Vehicle Register'!$O$5:$O$500, MATCH(50, 'Vehicle Register'!$Y$5:$Y$500, 0)), "")</f>
        <v/>
      </c>
      <c r="P54" s="18" t="str">
        <f aca="false">IFERROR(INDEX('Vehicle Register'!$P$5:$P$500, MATCH(50, 'Vehicle Register'!$Y$5:$Y$500, 0)), "")</f>
        <v/>
      </c>
      <c r="Q54" s="20" t="str">
        <f aca="false">IFERROR(INDEX('Vehicle Register'!$Q$5:$Q$500, MATCH(50, 'Vehicle Register'!$Y$5:$Y$500, 0)), "")</f>
        <v/>
      </c>
      <c r="R54" s="19" t="str">
        <f aca="false">IFERROR(INDEX('Vehicle Register'!$R$5:$R$500, MATCH(50, 'Vehicle Register'!$Y$5:$Y$500, 0)), "")</f>
        <v/>
      </c>
      <c r="S54" s="20" t="str">
        <f aca="false">IFERROR(INDEX('Vehicle Register'!$S$5:$S$500, MATCH(50, 'Vehicle Register'!$Y$5:$Y$500, 0)), "")</f>
        <v/>
      </c>
      <c r="T54" s="18" t="str">
        <f aca="false">IFERROR(INDEX('Vehicle Register'!$T$5:$T$500, MATCH(50, 'Vehicle Register'!$Y$5:$Y$500, 0)), "")</f>
        <v/>
      </c>
      <c r="U54" s="20" t="str">
        <f aca="false">IFERROR(INDEX('Vehicle Register'!$U$5:$U$500, MATCH(50, 'Vehicle Register'!$Y$5:$Y$500, 0)), "")</f>
        <v/>
      </c>
      <c r="V54" s="21" t="str">
        <f aca="false">IFERROR(INDEX('Vehicle Register'!$V$5:$V$500, MATCH(50, 'Vehicle Register'!$Y$5:$Y$500, 0)), "")</f>
        <v/>
      </c>
      <c r="W54" s="22" t="str">
        <f aca="false">IFERROR(INDEX('Vehicle Register'!$W$5:$W$500, MATCH(50, 'Vehicle Register'!$Y$5:$Y$500, 0)), "")</f>
        <v/>
      </c>
    </row>
    <row r="55" customFormat="false" ht="15" hidden="false" customHeight="false" outlineLevel="0" collapsed="false">
      <c r="A55" s="18" t="str">
        <f aca="false">IFERROR(INDEX('Vehicle Register'!$A$5:$A$500, MATCH(51, 'Vehicle Register'!$Y$5:$Y$500, 0)), "")</f>
        <v/>
      </c>
      <c r="B55" s="18" t="str">
        <f aca="false">IFERROR(INDEX('Vehicle Register'!$B$5:$B$500, MATCH(51, 'Vehicle Register'!$Y$5:$Y$500, 0)), "")</f>
        <v/>
      </c>
      <c r="C55" s="18" t="str">
        <f aca="false">IFERROR(INDEX('Vehicle Register'!$C$5:$C$500, MATCH(51, 'Vehicle Register'!$Y$5:$Y$500, 0)), "")</f>
        <v/>
      </c>
      <c r="D55" s="18" t="str">
        <f aca="false">IFERROR(INDEX('Vehicle Register'!$D$5:$D$500, MATCH(51, 'Vehicle Register'!$Y$5:$Y$500, 0)), "")</f>
        <v/>
      </c>
      <c r="E55" s="18" t="str">
        <f aca="false">IFERROR(INDEX('Vehicle Register'!$E$5:$E$500, MATCH(51, 'Vehicle Register'!$Y$5:$Y$500, 0)), "")</f>
        <v/>
      </c>
      <c r="F55" s="18" t="str">
        <f aca="false">IFERROR(INDEX('Vehicle Register'!$F$5:$F$500, MATCH(51, 'Vehicle Register'!$Y$5:$Y$500, 0)), "")</f>
        <v/>
      </c>
      <c r="G55" s="18" t="str">
        <f aca="false">IFERROR(INDEX('Vehicle Register'!$G$5:$G$500, MATCH(51, 'Vehicle Register'!$Y$5:$Y$500, 0)), "")</f>
        <v/>
      </c>
      <c r="H55" s="18" t="str">
        <f aca="false">IFERROR(INDEX('Vehicle Register'!$H$5:$H$500, MATCH(51, 'Vehicle Register'!$Y$5:$Y$500, 0)), "")</f>
        <v/>
      </c>
      <c r="I55" s="18" t="str">
        <f aca="false">IFERROR(INDEX('Vehicle Register'!$I$5:$I$500, MATCH(51, 'Vehicle Register'!$Y$5:$Y$500, 0)), "")</f>
        <v/>
      </c>
      <c r="J55" s="18" t="str">
        <f aca="false">IFERROR(INDEX('Vehicle Register'!$J$5:$J$500, MATCH(51, 'Vehicle Register'!$Y$5:$Y$500, 0)), "")</f>
        <v/>
      </c>
      <c r="K55" s="19" t="str">
        <f aca="false">IFERROR(INDEX('Vehicle Register'!$K$5:$K$500, MATCH(51, 'Vehicle Register'!$Y$5:$Y$500, 0)), "")</f>
        <v/>
      </c>
      <c r="L55" s="20" t="str">
        <f aca="false">IFERROR(INDEX('Vehicle Register'!$L$5:$L$500, MATCH(51, 'Vehicle Register'!$Y$5:$Y$500, 0)), "")</f>
        <v/>
      </c>
      <c r="M55" s="20" t="str">
        <f aca="false">IFERROR(INDEX('Vehicle Register'!$M$5:$M$500, MATCH(51, 'Vehicle Register'!$Y$5:$Y$500, 0)), "")</f>
        <v/>
      </c>
      <c r="N55" s="20" t="str">
        <f aca="false">IFERROR(INDEX('Vehicle Register'!$N$5:$N$500, MATCH(51, 'Vehicle Register'!$Y$5:$Y$500, 0)), "")</f>
        <v/>
      </c>
      <c r="O55" s="18" t="str">
        <f aca="false">IFERROR(INDEX('Vehicle Register'!$O$5:$O$500, MATCH(51, 'Vehicle Register'!$Y$5:$Y$500, 0)), "")</f>
        <v/>
      </c>
      <c r="P55" s="18" t="str">
        <f aca="false">IFERROR(INDEX('Vehicle Register'!$P$5:$P$500, MATCH(51, 'Vehicle Register'!$Y$5:$Y$500, 0)), "")</f>
        <v/>
      </c>
      <c r="Q55" s="20" t="str">
        <f aca="false">IFERROR(INDEX('Vehicle Register'!$Q$5:$Q$500, MATCH(51, 'Vehicle Register'!$Y$5:$Y$500, 0)), "")</f>
        <v/>
      </c>
      <c r="R55" s="19" t="str">
        <f aca="false">IFERROR(INDEX('Vehicle Register'!$R$5:$R$500, MATCH(51, 'Vehicle Register'!$Y$5:$Y$500, 0)), "")</f>
        <v/>
      </c>
      <c r="S55" s="20" t="str">
        <f aca="false">IFERROR(INDEX('Vehicle Register'!$S$5:$S$500, MATCH(51, 'Vehicle Register'!$Y$5:$Y$500, 0)), "")</f>
        <v/>
      </c>
      <c r="T55" s="18" t="str">
        <f aca="false">IFERROR(INDEX('Vehicle Register'!$T$5:$T$500, MATCH(51, 'Vehicle Register'!$Y$5:$Y$500, 0)), "")</f>
        <v/>
      </c>
      <c r="U55" s="20" t="str">
        <f aca="false">IFERROR(INDEX('Vehicle Register'!$U$5:$U$500, MATCH(51, 'Vehicle Register'!$Y$5:$Y$500, 0)), "")</f>
        <v/>
      </c>
      <c r="V55" s="21" t="str">
        <f aca="false">IFERROR(INDEX('Vehicle Register'!$V$5:$V$500, MATCH(51, 'Vehicle Register'!$Y$5:$Y$500, 0)), "")</f>
        <v/>
      </c>
      <c r="W55" s="22" t="str">
        <f aca="false">IFERROR(INDEX('Vehicle Register'!$W$5:$W$500, MATCH(51, 'Vehicle Register'!$Y$5:$Y$500, 0)), "")</f>
        <v/>
      </c>
    </row>
    <row r="56" customFormat="false" ht="15" hidden="false" customHeight="false" outlineLevel="0" collapsed="false">
      <c r="A56" s="18" t="str">
        <f aca="false">IFERROR(INDEX('Vehicle Register'!$A$5:$A$500, MATCH(52, 'Vehicle Register'!$Y$5:$Y$500, 0)), "")</f>
        <v/>
      </c>
      <c r="B56" s="18" t="str">
        <f aca="false">IFERROR(INDEX('Vehicle Register'!$B$5:$B$500, MATCH(52, 'Vehicle Register'!$Y$5:$Y$500, 0)), "")</f>
        <v/>
      </c>
      <c r="C56" s="18" t="str">
        <f aca="false">IFERROR(INDEX('Vehicle Register'!$C$5:$C$500, MATCH(52, 'Vehicle Register'!$Y$5:$Y$500, 0)), "")</f>
        <v/>
      </c>
      <c r="D56" s="18" t="str">
        <f aca="false">IFERROR(INDEX('Vehicle Register'!$D$5:$D$500, MATCH(52, 'Vehicle Register'!$Y$5:$Y$500, 0)), "")</f>
        <v/>
      </c>
      <c r="E56" s="18" t="str">
        <f aca="false">IFERROR(INDEX('Vehicle Register'!$E$5:$E$500, MATCH(52, 'Vehicle Register'!$Y$5:$Y$500, 0)), "")</f>
        <v/>
      </c>
      <c r="F56" s="18" t="str">
        <f aca="false">IFERROR(INDEX('Vehicle Register'!$F$5:$F$500, MATCH(52, 'Vehicle Register'!$Y$5:$Y$500, 0)), "")</f>
        <v/>
      </c>
      <c r="G56" s="18" t="str">
        <f aca="false">IFERROR(INDEX('Vehicle Register'!$G$5:$G$500, MATCH(52, 'Vehicle Register'!$Y$5:$Y$500, 0)), "")</f>
        <v/>
      </c>
      <c r="H56" s="18" t="str">
        <f aca="false">IFERROR(INDEX('Vehicle Register'!$H$5:$H$500, MATCH(52, 'Vehicle Register'!$Y$5:$Y$500, 0)), "")</f>
        <v/>
      </c>
      <c r="I56" s="18" t="str">
        <f aca="false">IFERROR(INDEX('Vehicle Register'!$I$5:$I$500, MATCH(52, 'Vehicle Register'!$Y$5:$Y$500, 0)), "")</f>
        <v/>
      </c>
      <c r="J56" s="18" t="str">
        <f aca="false">IFERROR(INDEX('Vehicle Register'!$J$5:$J$500, MATCH(52, 'Vehicle Register'!$Y$5:$Y$500, 0)), "")</f>
        <v/>
      </c>
      <c r="K56" s="19" t="str">
        <f aca="false">IFERROR(INDEX('Vehicle Register'!$K$5:$K$500, MATCH(52, 'Vehicle Register'!$Y$5:$Y$500, 0)), "")</f>
        <v/>
      </c>
      <c r="L56" s="20" t="str">
        <f aca="false">IFERROR(INDEX('Vehicle Register'!$L$5:$L$500, MATCH(52, 'Vehicle Register'!$Y$5:$Y$500, 0)), "")</f>
        <v/>
      </c>
      <c r="M56" s="20" t="str">
        <f aca="false">IFERROR(INDEX('Vehicle Register'!$M$5:$M$500, MATCH(52, 'Vehicle Register'!$Y$5:$Y$500, 0)), "")</f>
        <v/>
      </c>
      <c r="N56" s="20" t="str">
        <f aca="false">IFERROR(INDEX('Vehicle Register'!$N$5:$N$500, MATCH(52, 'Vehicle Register'!$Y$5:$Y$500, 0)), "")</f>
        <v/>
      </c>
      <c r="O56" s="18" t="str">
        <f aca="false">IFERROR(INDEX('Vehicle Register'!$O$5:$O$500, MATCH(52, 'Vehicle Register'!$Y$5:$Y$500, 0)), "")</f>
        <v/>
      </c>
      <c r="P56" s="18" t="str">
        <f aca="false">IFERROR(INDEX('Vehicle Register'!$P$5:$P$500, MATCH(52, 'Vehicle Register'!$Y$5:$Y$500, 0)), "")</f>
        <v/>
      </c>
      <c r="Q56" s="20" t="str">
        <f aca="false">IFERROR(INDEX('Vehicle Register'!$Q$5:$Q$500, MATCH(52, 'Vehicle Register'!$Y$5:$Y$500, 0)), "")</f>
        <v/>
      </c>
      <c r="R56" s="19" t="str">
        <f aca="false">IFERROR(INDEX('Vehicle Register'!$R$5:$R$500, MATCH(52, 'Vehicle Register'!$Y$5:$Y$500, 0)), "")</f>
        <v/>
      </c>
      <c r="S56" s="20" t="str">
        <f aca="false">IFERROR(INDEX('Vehicle Register'!$S$5:$S$500, MATCH(52, 'Vehicle Register'!$Y$5:$Y$500, 0)), "")</f>
        <v/>
      </c>
      <c r="T56" s="18" t="str">
        <f aca="false">IFERROR(INDEX('Vehicle Register'!$T$5:$T$500, MATCH(52, 'Vehicle Register'!$Y$5:$Y$500, 0)), "")</f>
        <v/>
      </c>
      <c r="U56" s="20" t="str">
        <f aca="false">IFERROR(INDEX('Vehicle Register'!$U$5:$U$500, MATCH(52, 'Vehicle Register'!$Y$5:$Y$500, 0)), "")</f>
        <v/>
      </c>
      <c r="V56" s="21" t="str">
        <f aca="false">IFERROR(INDEX('Vehicle Register'!$V$5:$V$500, MATCH(52, 'Vehicle Register'!$Y$5:$Y$500, 0)), "")</f>
        <v/>
      </c>
      <c r="W56" s="22" t="str">
        <f aca="false">IFERROR(INDEX('Vehicle Register'!$W$5:$W$500, MATCH(52, 'Vehicle Register'!$Y$5:$Y$500, 0)), "")</f>
        <v/>
      </c>
    </row>
    <row r="57" customFormat="false" ht="15" hidden="false" customHeight="false" outlineLevel="0" collapsed="false">
      <c r="A57" s="18" t="str">
        <f aca="false">IFERROR(INDEX('Vehicle Register'!$A$5:$A$500, MATCH(53, 'Vehicle Register'!$Y$5:$Y$500, 0)), "")</f>
        <v/>
      </c>
      <c r="B57" s="18" t="str">
        <f aca="false">IFERROR(INDEX('Vehicle Register'!$B$5:$B$500, MATCH(53, 'Vehicle Register'!$Y$5:$Y$500, 0)), "")</f>
        <v/>
      </c>
      <c r="C57" s="18" t="str">
        <f aca="false">IFERROR(INDEX('Vehicle Register'!$C$5:$C$500, MATCH(53, 'Vehicle Register'!$Y$5:$Y$500, 0)), "")</f>
        <v/>
      </c>
      <c r="D57" s="18" t="str">
        <f aca="false">IFERROR(INDEX('Vehicle Register'!$D$5:$D$500, MATCH(53, 'Vehicle Register'!$Y$5:$Y$500, 0)), "")</f>
        <v/>
      </c>
      <c r="E57" s="18" t="str">
        <f aca="false">IFERROR(INDEX('Vehicle Register'!$E$5:$E$500, MATCH(53, 'Vehicle Register'!$Y$5:$Y$500, 0)), "")</f>
        <v/>
      </c>
      <c r="F57" s="18" t="str">
        <f aca="false">IFERROR(INDEX('Vehicle Register'!$F$5:$F$500, MATCH(53, 'Vehicle Register'!$Y$5:$Y$500, 0)), "")</f>
        <v/>
      </c>
      <c r="G57" s="18" t="str">
        <f aca="false">IFERROR(INDEX('Vehicle Register'!$G$5:$G$500, MATCH(53, 'Vehicle Register'!$Y$5:$Y$500, 0)), "")</f>
        <v/>
      </c>
      <c r="H57" s="18" t="str">
        <f aca="false">IFERROR(INDEX('Vehicle Register'!$H$5:$H$500, MATCH(53, 'Vehicle Register'!$Y$5:$Y$500, 0)), "")</f>
        <v/>
      </c>
      <c r="I57" s="18" t="str">
        <f aca="false">IFERROR(INDEX('Vehicle Register'!$I$5:$I$500, MATCH(53, 'Vehicle Register'!$Y$5:$Y$500, 0)), "")</f>
        <v/>
      </c>
      <c r="J57" s="18" t="str">
        <f aca="false">IFERROR(INDEX('Vehicle Register'!$J$5:$J$500, MATCH(53, 'Vehicle Register'!$Y$5:$Y$500, 0)), "")</f>
        <v/>
      </c>
      <c r="K57" s="19" t="str">
        <f aca="false">IFERROR(INDEX('Vehicle Register'!$K$5:$K$500, MATCH(53, 'Vehicle Register'!$Y$5:$Y$500, 0)), "")</f>
        <v/>
      </c>
      <c r="L57" s="20" t="str">
        <f aca="false">IFERROR(INDEX('Vehicle Register'!$L$5:$L$500, MATCH(53, 'Vehicle Register'!$Y$5:$Y$500, 0)), "")</f>
        <v/>
      </c>
      <c r="M57" s="20" t="str">
        <f aca="false">IFERROR(INDEX('Vehicle Register'!$M$5:$M$500, MATCH(53, 'Vehicle Register'!$Y$5:$Y$500, 0)), "")</f>
        <v/>
      </c>
      <c r="N57" s="20" t="str">
        <f aca="false">IFERROR(INDEX('Vehicle Register'!$N$5:$N$500, MATCH(53, 'Vehicle Register'!$Y$5:$Y$500, 0)), "")</f>
        <v/>
      </c>
      <c r="O57" s="18" t="str">
        <f aca="false">IFERROR(INDEX('Vehicle Register'!$O$5:$O$500, MATCH(53, 'Vehicle Register'!$Y$5:$Y$500, 0)), "")</f>
        <v/>
      </c>
      <c r="P57" s="18" t="str">
        <f aca="false">IFERROR(INDEX('Vehicle Register'!$P$5:$P$500, MATCH(53, 'Vehicle Register'!$Y$5:$Y$500, 0)), "")</f>
        <v/>
      </c>
      <c r="Q57" s="20" t="str">
        <f aca="false">IFERROR(INDEX('Vehicle Register'!$Q$5:$Q$500, MATCH(53, 'Vehicle Register'!$Y$5:$Y$500, 0)), "")</f>
        <v/>
      </c>
      <c r="R57" s="19" t="str">
        <f aca="false">IFERROR(INDEX('Vehicle Register'!$R$5:$R$500, MATCH(53, 'Vehicle Register'!$Y$5:$Y$500, 0)), "")</f>
        <v/>
      </c>
      <c r="S57" s="20" t="str">
        <f aca="false">IFERROR(INDEX('Vehicle Register'!$S$5:$S$500, MATCH(53, 'Vehicle Register'!$Y$5:$Y$500, 0)), "")</f>
        <v/>
      </c>
      <c r="T57" s="18" t="str">
        <f aca="false">IFERROR(INDEX('Vehicle Register'!$T$5:$T$500, MATCH(53, 'Vehicle Register'!$Y$5:$Y$500, 0)), "")</f>
        <v/>
      </c>
      <c r="U57" s="20" t="str">
        <f aca="false">IFERROR(INDEX('Vehicle Register'!$U$5:$U$500, MATCH(53, 'Vehicle Register'!$Y$5:$Y$500, 0)), "")</f>
        <v/>
      </c>
      <c r="V57" s="21" t="str">
        <f aca="false">IFERROR(INDEX('Vehicle Register'!$V$5:$V$500, MATCH(53, 'Vehicle Register'!$Y$5:$Y$500, 0)), "")</f>
        <v/>
      </c>
      <c r="W57" s="22" t="str">
        <f aca="false">IFERROR(INDEX('Vehicle Register'!$W$5:$W$500, MATCH(53, 'Vehicle Register'!$Y$5:$Y$500, 0)), "")</f>
        <v/>
      </c>
    </row>
    <row r="58" customFormat="false" ht="15" hidden="false" customHeight="false" outlineLevel="0" collapsed="false">
      <c r="A58" s="18" t="str">
        <f aca="false">IFERROR(INDEX('Vehicle Register'!$A$5:$A$500, MATCH(54, 'Vehicle Register'!$Y$5:$Y$500, 0)), "")</f>
        <v/>
      </c>
      <c r="B58" s="18" t="str">
        <f aca="false">IFERROR(INDEX('Vehicle Register'!$B$5:$B$500, MATCH(54, 'Vehicle Register'!$Y$5:$Y$500, 0)), "")</f>
        <v/>
      </c>
      <c r="C58" s="18" t="str">
        <f aca="false">IFERROR(INDEX('Vehicle Register'!$C$5:$C$500, MATCH(54, 'Vehicle Register'!$Y$5:$Y$500, 0)), "")</f>
        <v/>
      </c>
      <c r="D58" s="18" t="str">
        <f aca="false">IFERROR(INDEX('Vehicle Register'!$D$5:$D$500, MATCH(54, 'Vehicle Register'!$Y$5:$Y$500, 0)), "")</f>
        <v/>
      </c>
      <c r="E58" s="18" t="str">
        <f aca="false">IFERROR(INDEX('Vehicle Register'!$E$5:$E$500, MATCH(54, 'Vehicle Register'!$Y$5:$Y$500, 0)), "")</f>
        <v/>
      </c>
      <c r="F58" s="18" t="str">
        <f aca="false">IFERROR(INDEX('Vehicle Register'!$F$5:$F$500, MATCH(54, 'Vehicle Register'!$Y$5:$Y$500, 0)), "")</f>
        <v/>
      </c>
      <c r="G58" s="18" t="str">
        <f aca="false">IFERROR(INDEX('Vehicle Register'!$G$5:$G$500, MATCH(54, 'Vehicle Register'!$Y$5:$Y$500, 0)), "")</f>
        <v/>
      </c>
      <c r="H58" s="18" t="str">
        <f aca="false">IFERROR(INDEX('Vehicle Register'!$H$5:$H$500, MATCH(54, 'Vehicle Register'!$Y$5:$Y$500, 0)), "")</f>
        <v/>
      </c>
      <c r="I58" s="18" t="str">
        <f aca="false">IFERROR(INDEX('Vehicle Register'!$I$5:$I$500, MATCH(54, 'Vehicle Register'!$Y$5:$Y$500, 0)), "")</f>
        <v/>
      </c>
      <c r="J58" s="18" t="str">
        <f aca="false">IFERROR(INDEX('Vehicle Register'!$J$5:$J$500, MATCH(54, 'Vehicle Register'!$Y$5:$Y$500, 0)), "")</f>
        <v/>
      </c>
      <c r="K58" s="19" t="str">
        <f aca="false">IFERROR(INDEX('Vehicle Register'!$K$5:$K$500, MATCH(54, 'Vehicle Register'!$Y$5:$Y$500, 0)), "")</f>
        <v/>
      </c>
      <c r="L58" s="20" t="str">
        <f aca="false">IFERROR(INDEX('Vehicle Register'!$L$5:$L$500, MATCH(54, 'Vehicle Register'!$Y$5:$Y$500, 0)), "")</f>
        <v/>
      </c>
      <c r="M58" s="20" t="str">
        <f aca="false">IFERROR(INDEX('Vehicle Register'!$M$5:$M$500, MATCH(54, 'Vehicle Register'!$Y$5:$Y$500, 0)), "")</f>
        <v/>
      </c>
      <c r="N58" s="20" t="str">
        <f aca="false">IFERROR(INDEX('Vehicle Register'!$N$5:$N$500, MATCH(54, 'Vehicle Register'!$Y$5:$Y$500, 0)), "")</f>
        <v/>
      </c>
      <c r="O58" s="18" t="str">
        <f aca="false">IFERROR(INDEX('Vehicle Register'!$O$5:$O$500, MATCH(54, 'Vehicle Register'!$Y$5:$Y$500, 0)), "")</f>
        <v/>
      </c>
      <c r="P58" s="18" t="str">
        <f aca="false">IFERROR(INDEX('Vehicle Register'!$P$5:$P$500, MATCH(54, 'Vehicle Register'!$Y$5:$Y$500, 0)), "")</f>
        <v/>
      </c>
      <c r="Q58" s="20" t="str">
        <f aca="false">IFERROR(INDEX('Vehicle Register'!$Q$5:$Q$500, MATCH(54, 'Vehicle Register'!$Y$5:$Y$500, 0)), "")</f>
        <v/>
      </c>
      <c r="R58" s="19" t="str">
        <f aca="false">IFERROR(INDEX('Vehicle Register'!$R$5:$R$500, MATCH(54, 'Vehicle Register'!$Y$5:$Y$500, 0)), "")</f>
        <v/>
      </c>
      <c r="S58" s="20" t="str">
        <f aca="false">IFERROR(INDEX('Vehicle Register'!$S$5:$S$500, MATCH(54, 'Vehicle Register'!$Y$5:$Y$500, 0)), "")</f>
        <v/>
      </c>
      <c r="T58" s="18" t="str">
        <f aca="false">IFERROR(INDEX('Vehicle Register'!$T$5:$T$500, MATCH(54, 'Vehicle Register'!$Y$5:$Y$500, 0)), "")</f>
        <v/>
      </c>
      <c r="U58" s="20" t="str">
        <f aca="false">IFERROR(INDEX('Vehicle Register'!$U$5:$U$500, MATCH(54, 'Vehicle Register'!$Y$5:$Y$500, 0)), "")</f>
        <v/>
      </c>
      <c r="V58" s="21" t="str">
        <f aca="false">IFERROR(INDEX('Vehicle Register'!$V$5:$V$500, MATCH(54, 'Vehicle Register'!$Y$5:$Y$500, 0)), "")</f>
        <v/>
      </c>
      <c r="W58" s="22" t="str">
        <f aca="false">IFERROR(INDEX('Vehicle Register'!$W$5:$W$500, MATCH(54, 'Vehicle Register'!$Y$5:$Y$500, 0)), "")</f>
        <v/>
      </c>
    </row>
    <row r="59" customFormat="false" ht="15" hidden="false" customHeight="false" outlineLevel="0" collapsed="false">
      <c r="A59" s="18" t="str">
        <f aca="false">IFERROR(INDEX('Vehicle Register'!$A$5:$A$500, MATCH(55, 'Vehicle Register'!$Y$5:$Y$500, 0)), "")</f>
        <v/>
      </c>
      <c r="B59" s="18" t="str">
        <f aca="false">IFERROR(INDEX('Vehicle Register'!$B$5:$B$500, MATCH(55, 'Vehicle Register'!$Y$5:$Y$500, 0)), "")</f>
        <v/>
      </c>
      <c r="C59" s="18" t="str">
        <f aca="false">IFERROR(INDEX('Vehicle Register'!$C$5:$C$500, MATCH(55, 'Vehicle Register'!$Y$5:$Y$500, 0)), "")</f>
        <v/>
      </c>
      <c r="D59" s="18" t="str">
        <f aca="false">IFERROR(INDEX('Vehicle Register'!$D$5:$D$500, MATCH(55, 'Vehicle Register'!$Y$5:$Y$500, 0)), "")</f>
        <v/>
      </c>
      <c r="E59" s="18" t="str">
        <f aca="false">IFERROR(INDEX('Vehicle Register'!$E$5:$E$500, MATCH(55, 'Vehicle Register'!$Y$5:$Y$500, 0)), "")</f>
        <v/>
      </c>
      <c r="F59" s="18" t="str">
        <f aca="false">IFERROR(INDEX('Vehicle Register'!$F$5:$F$500, MATCH(55, 'Vehicle Register'!$Y$5:$Y$500, 0)), "")</f>
        <v/>
      </c>
      <c r="G59" s="18" t="str">
        <f aca="false">IFERROR(INDEX('Vehicle Register'!$G$5:$G$500, MATCH(55, 'Vehicle Register'!$Y$5:$Y$500, 0)), "")</f>
        <v/>
      </c>
      <c r="H59" s="18" t="str">
        <f aca="false">IFERROR(INDEX('Vehicle Register'!$H$5:$H$500, MATCH(55, 'Vehicle Register'!$Y$5:$Y$500, 0)), "")</f>
        <v/>
      </c>
      <c r="I59" s="18" t="str">
        <f aca="false">IFERROR(INDEX('Vehicle Register'!$I$5:$I$500, MATCH(55, 'Vehicle Register'!$Y$5:$Y$500, 0)), "")</f>
        <v/>
      </c>
      <c r="J59" s="18" t="str">
        <f aca="false">IFERROR(INDEX('Vehicle Register'!$J$5:$J$500, MATCH(55, 'Vehicle Register'!$Y$5:$Y$500, 0)), "")</f>
        <v/>
      </c>
      <c r="K59" s="19" t="str">
        <f aca="false">IFERROR(INDEX('Vehicle Register'!$K$5:$K$500, MATCH(55, 'Vehicle Register'!$Y$5:$Y$500, 0)), "")</f>
        <v/>
      </c>
      <c r="L59" s="20" t="str">
        <f aca="false">IFERROR(INDEX('Vehicle Register'!$L$5:$L$500, MATCH(55, 'Vehicle Register'!$Y$5:$Y$500, 0)), "")</f>
        <v/>
      </c>
      <c r="M59" s="20" t="str">
        <f aca="false">IFERROR(INDEX('Vehicle Register'!$M$5:$M$500, MATCH(55, 'Vehicle Register'!$Y$5:$Y$500, 0)), "")</f>
        <v/>
      </c>
      <c r="N59" s="20" t="str">
        <f aca="false">IFERROR(INDEX('Vehicle Register'!$N$5:$N$500, MATCH(55, 'Vehicle Register'!$Y$5:$Y$500, 0)), "")</f>
        <v/>
      </c>
      <c r="O59" s="18" t="str">
        <f aca="false">IFERROR(INDEX('Vehicle Register'!$O$5:$O$500, MATCH(55, 'Vehicle Register'!$Y$5:$Y$500, 0)), "")</f>
        <v/>
      </c>
      <c r="P59" s="18" t="str">
        <f aca="false">IFERROR(INDEX('Vehicle Register'!$P$5:$P$500, MATCH(55, 'Vehicle Register'!$Y$5:$Y$500, 0)), "")</f>
        <v/>
      </c>
      <c r="Q59" s="20" t="str">
        <f aca="false">IFERROR(INDEX('Vehicle Register'!$Q$5:$Q$500, MATCH(55, 'Vehicle Register'!$Y$5:$Y$500, 0)), "")</f>
        <v/>
      </c>
      <c r="R59" s="19" t="str">
        <f aca="false">IFERROR(INDEX('Vehicle Register'!$R$5:$R$500, MATCH(55, 'Vehicle Register'!$Y$5:$Y$500, 0)), "")</f>
        <v/>
      </c>
      <c r="S59" s="20" t="str">
        <f aca="false">IFERROR(INDEX('Vehicle Register'!$S$5:$S$500, MATCH(55, 'Vehicle Register'!$Y$5:$Y$500, 0)), "")</f>
        <v/>
      </c>
      <c r="T59" s="18" t="str">
        <f aca="false">IFERROR(INDEX('Vehicle Register'!$T$5:$T$500, MATCH(55, 'Vehicle Register'!$Y$5:$Y$500, 0)), "")</f>
        <v/>
      </c>
      <c r="U59" s="20" t="str">
        <f aca="false">IFERROR(INDEX('Vehicle Register'!$U$5:$U$500, MATCH(55, 'Vehicle Register'!$Y$5:$Y$500, 0)), "")</f>
        <v/>
      </c>
      <c r="V59" s="21" t="str">
        <f aca="false">IFERROR(INDEX('Vehicle Register'!$V$5:$V$500, MATCH(55, 'Vehicle Register'!$Y$5:$Y$500, 0)), "")</f>
        <v/>
      </c>
      <c r="W59" s="22" t="str">
        <f aca="false">IFERROR(INDEX('Vehicle Register'!$W$5:$W$500, MATCH(55, 'Vehicle Register'!$Y$5:$Y$500, 0)), "")</f>
        <v/>
      </c>
    </row>
    <row r="60" customFormat="false" ht="15" hidden="false" customHeight="false" outlineLevel="0" collapsed="false">
      <c r="A60" s="18" t="str">
        <f aca="false">IFERROR(INDEX('Vehicle Register'!$A$5:$A$500, MATCH(56, 'Vehicle Register'!$Y$5:$Y$500, 0)), "")</f>
        <v/>
      </c>
      <c r="B60" s="18" t="str">
        <f aca="false">IFERROR(INDEX('Vehicle Register'!$B$5:$B$500, MATCH(56, 'Vehicle Register'!$Y$5:$Y$500, 0)), "")</f>
        <v/>
      </c>
      <c r="C60" s="18" t="str">
        <f aca="false">IFERROR(INDEX('Vehicle Register'!$C$5:$C$500, MATCH(56, 'Vehicle Register'!$Y$5:$Y$500, 0)), "")</f>
        <v/>
      </c>
      <c r="D60" s="18" t="str">
        <f aca="false">IFERROR(INDEX('Vehicle Register'!$D$5:$D$500, MATCH(56, 'Vehicle Register'!$Y$5:$Y$500, 0)), "")</f>
        <v/>
      </c>
      <c r="E60" s="18" t="str">
        <f aca="false">IFERROR(INDEX('Vehicle Register'!$E$5:$E$500, MATCH(56, 'Vehicle Register'!$Y$5:$Y$500, 0)), "")</f>
        <v/>
      </c>
      <c r="F60" s="18" t="str">
        <f aca="false">IFERROR(INDEX('Vehicle Register'!$F$5:$F$500, MATCH(56, 'Vehicle Register'!$Y$5:$Y$500, 0)), "")</f>
        <v/>
      </c>
      <c r="G60" s="18" t="str">
        <f aca="false">IFERROR(INDEX('Vehicle Register'!$G$5:$G$500, MATCH(56, 'Vehicle Register'!$Y$5:$Y$500, 0)), "")</f>
        <v/>
      </c>
      <c r="H60" s="18" t="str">
        <f aca="false">IFERROR(INDEX('Vehicle Register'!$H$5:$H$500, MATCH(56, 'Vehicle Register'!$Y$5:$Y$500, 0)), "")</f>
        <v/>
      </c>
      <c r="I60" s="18" t="str">
        <f aca="false">IFERROR(INDEX('Vehicle Register'!$I$5:$I$500, MATCH(56, 'Vehicle Register'!$Y$5:$Y$500, 0)), "")</f>
        <v/>
      </c>
      <c r="J60" s="18" t="str">
        <f aca="false">IFERROR(INDEX('Vehicle Register'!$J$5:$J$500, MATCH(56, 'Vehicle Register'!$Y$5:$Y$500, 0)), "")</f>
        <v/>
      </c>
      <c r="K60" s="19" t="str">
        <f aca="false">IFERROR(INDEX('Vehicle Register'!$K$5:$K$500, MATCH(56, 'Vehicle Register'!$Y$5:$Y$500, 0)), "")</f>
        <v/>
      </c>
      <c r="L60" s="20" t="str">
        <f aca="false">IFERROR(INDEX('Vehicle Register'!$L$5:$L$500, MATCH(56, 'Vehicle Register'!$Y$5:$Y$500, 0)), "")</f>
        <v/>
      </c>
      <c r="M60" s="20" t="str">
        <f aca="false">IFERROR(INDEX('Vehicle Register'!$M$5:$M$500, MATCH(56, 'Vehicle Register'!$Y$5:$Y$500, 0)), "")</f>
        <v/>
      </c>
      <c r="N60" s="20" t="str">
        <f aca="false">IFERROR(INDEX('Vehicle Register'!$N$5:$N$500, MATCH(56, 'Vehicle Register'!$Y$5:$Y$500, 0)), "")</f>
        <v/>
      </c>
      <c r="O60" s="18" t="str">
        <f aca="false">IFERROR(INDEX('Vehicle Register'!$O$5:$O$500, MATCH(56, 'Vehicle Register'!$Y$5:$Y$500, 0)), "")</f>
        <v/>
      </c>
      <c r="P60" s="18" t="str">
        <f aca="false">IFERROR(INDEX('Vehicle Register'!$P$5:$P$500, MATCH(56, 'Vehicle Register'!$Y$5:$Y$500, 0)), "")</f>
        <v/>
      </c>
      <c r="Q60" s="20" t="str">
        <f aca="false">IFERROR(INDEX('Vehicle Register'!$Q$5:$Q$500, MATCH(56, 'Vehicle Register'!$Y$5:$Y$500, 0)), "")</f>
        <v/>
      </c>
      <c r="R60" s="19" t="str">
        <f aca="false">IFERROR(INDEX('Vehicle Register'!$R$5:$R$500, MATCH(56, 'Vehicle Register'!$Y$5:$Y$500, 0)), "")</f>
        <v/>
      </c>
      <c r="S60" s="20" t="str">
        <f aca="false">IFERROR(INDEX('Vehicle Register'!$S$5:$S$500, MATCH(56, 'Vehicle Register'!$Y$5:$Y$500, 0)), "")</f>
        <v/>
      </c>
      <c r="T60" s="18" t="str">
        <f aca="false">IFERROR(INDEX('Vehicle Register'!$T$5:$T$500, MATCH(56, 'Vehicle Register'!$Y$5:$Y$500, 0)), "")</f>
        <v/>
      </c>
      <c r="U60" s="20" t="str">
        <f aca="false">IFERROR(INDEX('Vehicle Register'!$U$5:$U$500, MATCH(56, 'Vehicle Register'!$Y$5:$Y$500, 0)), "")</f>
        <v/>
      </c>
      <c r="V60" s="21" t="str">
        <f aca="false">IFERROR(INDEX('Vehicle Register'!$V$5:$V$500, MATCH(56, 'Vehicle Register'!$Y$5:$Y$500, 0)), "")</f>
        <v/>
      </c>
      <c r="W60" s="22" t="str">
        <f aca="false">IFERROR(INDEX('Vehicle Register'!$W$5:$W$500, MATCH(56, 'Vehicle Register'!$Y$5:$Y$500, 0)), "")</f>
        <v/>
      </c>
    </row>
    <row r="61" customFormat="false" ht="15" hidden="false" customHeight="false" outlineLevel="0" collapsed="false">
      <c r="A61" s="18" t="str">
        <f aca="false">IFERROR(INDEX('Vehicle Register'!$A$5:$A$500, MATCH(57, 'Vehicle Register'!$Y$5:$Y$500, 0)), "")</f>
        <v/>
      </c>
      <c r="B61" s="18" t="str">
        <f aca="false">IFERROR(INDEX('Vehicle Register'!$B$5:$B$500, MATCH(57, 'Vehicle Register'!$Y$5:$Y$500, 0)), "")</f>
        <v/>
      </c>
      <c r="C61" s="18" t="str">
        <f aca="false">IFERROR(INDEX('Vehicle Register'!$C$5:$C$500, MATCH(57, 'Vehicle Register'!$Y$5:$Y$500, 0)), "")</f>
        <v/>
      </c>
      <c r="D61" s="18" t="str">
        <f aca="false">IFERROR(INDEX('Vehicle Register'!$D$5:$D$500, MATCH(57, 'Vehicle Register'!$Y$5:$Y$500, 0)), "")</f>
        <v/>
      </c>
      <c r="E61" s="18" t="str">
        <f aca="false">IFERROR(INDEX('Vehicle Register'!$E$5:$E$500, MATCH(57, 'Vehicle Register'!$Y$5:$Y$500, 0)), "")</f>
        <v/>
      </c>
      <c r="F61" s="18" t="str">
        <f aca="false">IFERROR(INDEX('Vehicle Register'!$F$5:$F$500, MATCH(57, 'Vehicle Register'!$Y$5:$Y$500, 0)), "")</f>
        <v/>
      </c>
      <c r="G61" s="18" t="str">
        <f aca="false">IFERROR(INDEX('Vehicle Register'!$G$5:$G$500, MATCH(57, 'Vehicle Register'!$Y$5:$Y$500, 0)), "")</f>
        <v/>
      </c>
      <c r="H61" s="18" t="str">
        <f aca="false">IFERROR(INDEX('Vehicle Register'!$H$5:$H$500, MATCH(57, 'Vehicle Register'!$Y$5:$Y$500, 0)), "")</f>
        <v/>
      </c>
      <c r="I61" s="18" t="str">
        <f aca="false">IFERROR(INDEX('Vehicle Register'!$I$5:$I$500, MATCH(57, 'Vehicle Register'!$Y$5:$Y$500, 0)), "")</f>
        <v/>
      </c>
      <c r="J61" s="18" t="str">
        <f aca="false">IFERROR(INDEX('Vehicle Register'!$J$5:$J$500, MATCH(57, 'Vehicle Register'!$Y$5:$Y$500, 0)), "")</f>
        <v/>
      </c>
      <c r="K61" s="19" t="str">
        <f aca="false">IFERROR(INDEX('Vehicle Register'!$K$5:$K$500, MATCH(57, 'Vehicle Register'!$Y$5:$Y$500, 0)), "")</f>
        <v/>
      </c>
      <c r="L61" s="20" t="str">
        <f aca="false">IFERROR(INDEX('Vehicle Register'!$L$5:$L$500, MATCH(57, 'Vehicle Register'!$Y$5:$Y$500, 0)), "")</f>
        <v/>
      </c>
      <c r="M61" s="20" t="str">
        <f aca="false">IFERROR(INDEX('Vehicle Register'!$M$5:$M$500, MATCH(57, 'Vehicle Register'!$Y$5:$Y$500, 0)), "")</f>
        <v/>
      </c>
      <c r="N61" s="20" t="str">
        <f aca="false">IFERROR(INDEX('Vehicle Register'!$N$5:$N$500, MATCH(57, 'Vehicle Register'!$Y$5:$Y$500, 0)), "")</f>
        <v/>
      </c>
      <c r="O61" s="18" t="str">
        <f aca="false">IFERROR(INDEX('Vehicle Register'!$O$5:$O$500, MATCH(57, 'Vehicle Register'!$Y$5:$Y$500, 0)), "")</f>
        <v/>
      </c>
      <c r="P61" s="18" t="str">
        <f aca="false">IFERROR(INDEX('Vehicle Register'!$P$5:$P$500, MATCH(57, 'Vehicle Register'!$Y$5:$Y$500, 0)), "")</f>
        <v/>
      </c>
      <c r="Q61" s="20" t="str">
        <f aca="false">IFERROR(INDEX('Vehicle Register'!$Q$5:$Q$500, MATCH(57, 'Vehicle Register'!$Y$5:$Y$500, 0)), "")</f>
        <v/>
      </c>
      <c r="R61" s="19" t="str">
        <f aca="false">IFERROR(INDEX('Vehicle Register'!$R$5:$R$500, MATCH(57, 'Vehicle Register'!$Y$5:$Y$500, 0)), "")</f>
        <v/>
      </c>
      <c r="S61" s="20" t="str">
        <f aca="false">IFERROR(INDEX('Vehicle Register'!$S$5:$S$500, MATCH(57, 'Vehicle Register'!$Y$5:$Y$500, 0)), "")</f>
        <v/>
      </c>
      <c r="T61" s="18" t="str">
        <f aca="false">IFERROR(INDEX('Vehicle Register'!$T$5:$T$500, MATCH(57, 'Vehicle Register'!$Y$5:$Y$500, 0)), "")</f>
        <v/>
      </c>
      <c r="U61" s="20" t="str">
        <f aca="false">IFERROR(INDEX('Vehicle Register'!$U$5:$U$500, MATCH(57, 'Vehicle Register'!$Y$5:$Y$500, 0)), "")</f>
        <v/>
      </c>
      <c r="V61" s="21" t="str">
        <f aca="false">IFERROR(INDEX('Vehicle Register'!$V$5:$V$500, MATCH(57, 'Vehicle Register'!$Y$5:$Y$500, 0)), "")</f>
        <v/>
      </c>
      <c r="W61" s="22" t="str">
        <f aca="false">IFERROR(INDEX('Vehicle Register'!$W$5:$W$500, MATCH(57, 'Vehicle Register'!$Y$5:$Y$500, 0)), "")</f>
        <v/>
      </c>
    </row>
    <row r="62" customFormat="false" ht="15" hidden="false" customHeight="false" outlineLevel="0" collapsed="false">
      <c r="A62" s="18" t="str">
        <f aca="false">IFERROR(INDEX('Vehicle Register'!$A$5:$A$500, MATCH(58, 'Vehicle Register'!$Y$5:$Y$500, 0)), "")</f>
        <v/>
      </c>
      <c r="B62" s="18" t="str">
        <f aca="false">IFERROR(INDEX('Vehicle Register'!$B$5:$B$500, MATCH(58, 'Vehicle Register'!$Y$5:$Y$500, 0)), "")</f>
        <v/>
      </c>
      <c r="C62" s="18" t="str">
        <f aca="false">IFERROR(INDEX('Vehicle Register'!$C$5:$C$500, MATCH(58, 'Vehicle Register'!$Y$5:$Y$500, 0)), "")</f>
        <v/>
      </c>
      <c r="D62" s="18" t="str">
        <f aca="false">IFERROR(INDEX('Vehicle Register'!$D$5:$D$500, MATCH(58, 'Vehicle Register'!$Y$5:$Y$500, 0)), "")</f>
        <v/>
      </c>
      <c r="E62" s="18" t="str">
        <f aca="false">IFERROR(INDEX('Vehicle Register'!$E$5:$E$500, MATCH(58, 'Vehicle Register'!$Y$5:$Y$500, 0)), "")</f>
        <v/>
      </c>
      <c r="F62" s="18" t="str">
        <f aca="false">IFERROR(INDEX('Vehicle Register'!$F$5:$F$500, MATCH(58, 'Vehicle Register'!$Y$5:$Y$500, 0)), "")</f>
        <v/>
      </c>
      <c r="G62" s="18" t="str">
        <f aca="false">IFERROR(INDEX('Vehicle Register'!$G$5:$G$500, MATCH(58, 'Vehicle Register'!$Y$5:$Y$500, 0)), "")</f>
        <v/>
      </c>
      <c r="H62" s="18" t="str">
        <f aca="false">IFERROR(INDEX('Vehicle Register'!$H$5:$H$500, MATCH(58, 'Vehicle Register'!$Y$5:$Y$500, 0)), "")</f>
        <v/>
      </c>
      <c r="I62" s="18" t="str">
        <f aca="false">IFERROR(INDEX('Vehicle Register'!$I$5:$I$500, MATCH(58, 'Vehicle Register'!$Y$5:$Y$500, 0)), "")</f>
        <v/>
      </c>
      <c r="J62" s="18" t="str">
        <f aca="false">IFERROR(INDEX('Vehicle Register'!$J$5:$J$500, MATCH(58, 'Vehicle Register'!$Y$5:$Y$500, 0)), "")</f>
        <v/>
      </c>
      <c r="K62" s="19" t="str">
        <f aca="false">IFERROR(INDEX('Vehicle Register'!$K$5:$K$500, MATCH(58, 'Vehicle Register'!$Y$5:$Y$500, 0)), "")</f>
        <v/>
      </c>
      <c r="L62" s="20" t="str">
        <f aca="false">IFERROR(INDEX('Vehicle Register'!$L$5:$L$500, MATCH(58, 'Vehicle Register'!$Y$5:$Y$500, 0)), "")</f>
        <v/>
      </c>
      <c r="M62" s="20" t="str">
        <f aca="false">IFERROR(INDEX('Vehicle Register'!$M$5:$M$500, MATCH(58, 'Vehicle Register'!$Y$5:$Y$500, 0)), "")</f>
        <v/>
      </c>
      <c r="N62" s="20" t="str">
        <f aca="false">IFERROR(INDEX('Vehicle Register'!$N$5:$N$500, MATCH(58, 'Vehicle Register'!$Y$5:$Y$500, 0)), "")</f>
        <v/>
      </c>
      <c r="O62" s="18" t="str">
        <f aca="false">IFERROR(INDEX('Vehicle Register'!$O$5:$O$500, MATCH(58, 'Vehicle Register'!$Y$5:$Y$500, 0)), "")</f>
        <v/>
      </c>
      <c r="P62" s="18" t="str">
        <f aca="false">IFERROR(INDEX('Vehicle Register'!$P$5:$P$500, MATCH(58, 'Vehicle Register'!$Y$5:$Y$500, 0)), "")</f>
        <v/>
      </c>
      <c r="Q62" s="20" t="str">
        <f aca="false">IFERROR(INDEX('Vehicle Register'!$Q$5:$Q$500, MATCH(58, 'Vehicle Register'!$Y$5:$Y$500, 0)), "")</f>
        <v/>
      </c>
      <c r="R62" s="19" t="str">
        <f aca="false">IFERROR(INDEX('Vehicle Register'!$R$5:$R$500, MATCH(58, 'Vehicle Register'!$Y$5:$Y$500, 0)), "")</f>
        <v/>
      </c>
      <c r="S62" s="20" t="str">
        <f aca="false">IFERROR(INDEX('Vehicle Register'!$S$5:$S$500, MATCH(58, 'Vehicle Register'!$Y$5:$Y$500, 0)), "")</f>
        <v/>
      </c>
      <c r="T62" s="18" t="str">
        <f aca="false">IFERROR(INDEX('Vehicle Register'!$T$5:$T$500, MATCH(58, 'Vehicle Register'!$Y$5:$Y$500, 0)), "")</f>
        <v/>
      </c>
      <c r="U62" s="20" t="str">
        <f aca="false">IFERROR(INDEX('Vehicle Register'!$U$5:$U$500, MATCH(58, 'Vehicle Register'!$Y$5:$Y$500, 0)), "")</f>
        <v/>
      </c>
      <c r="V62" s="21" t="str">
        <f aca="false">IFERROR(INDEX('Vehicle Register'!$V$5:$V$500, MATCH(58, 'Vehicle Register'!$Y$5:$Y$500, 0)), "")</f>
        <v/>
      </c>
      <c r="W62" s="22" t="str">
        <f aca="false">IFERROR(INDEX('Vehicle Register'!$W$5:$W$500, MATCH(58, 'Vehicle Register'!$Y$5:$Y$500, 0)), "")</f>
        <v/>
      </c>
    </row>
    <row r="63" customFormat="false" ht="15" hidden="false" customHeight="false" outlineLevel="0" collapsed="false">
      <c r="A63" s="18" t="str">
        <f aca="false">IFERROR(INDEX('Vehicle Register'!$A$5:$A$500, MATCH(59, 'Vehicle Register'!$Y$5:$Y$500, 0)), "")</f>
        <v/>
      </c>
      <c r="B63" s="18" t="str">
        <f aca="false">IFERROR(INDEX('Vehicle Register'!$B$5:$B$500, MATCH(59, 'Vehicle Register'!$Y$5:$Y$500, 0)), "")</f>
        <v/>
      </c>
      <c r="C63" s="18" t="str">
        <f aca="false">IFERROR(INDEX('Vehicle Register'!$C$5:$C$500, MATCH(59, 'Vehicle Register'!$Y$5:$Y$500, 0)), "")</f>
        <v/>
      </c>
      <c r="D63" s="18" t="str">
        <f aca="false">IFERROR(INDEX('Vehicle Register'!$D$5:$D$500, MATCH(59, 'Vehicle Register'!$Y$5:$Y$500, 0)), "")</f>
        <v/>
      </c>
      <c r="E63" s="18" t="str">
        <f aca="false">IFERROR(INDEX('Vehicle Register'!$E$5:$E$500, MATCH(59, 'Vehicle Register'!$Y$5:$Y$500, 0)), "")</f>
        <v/>
      </c>
      <c r="F63" s="18" t="str">
        <f aca="false">IFERROR(INDEX('Vehicle Register'!$F$5:$F$500, MATCH(59, 'Vehicle Register'!$Y$5:$Y$500, 0)), "")</f>
        <v/>
      </c>
      <c r="G63" s="18" t="str">
        <f aca="false">IFERROR(INDEX('Vehicle Register'!$G$5:$G$500, MATCH(59, 'Vehicle Register'!$Y$5:$Y$500, 0)), "")</f>
        <v/>
      </c>
      <c r="H63" s="18" t="str">
        <f aca="false">IFERROR(INDEX('Vehicle Register'!$H$5:$H$500, MATCH(59, 'Vehicle Register'!$Y$5:$Y$500, 0)), "")</f>
        <v/>
      </c>
      <c r="I63" s="18" t="str">
        <f aca="false">IFERROR(INDEX('Vehicle Register'!$I$5:$I$500, MATCH(59, 'Vehicle Register'!$Y$5:$Y$500, 0)), "")</f>
        <v/>
      </c>
      <c r="J63" s="18" t="str">
        <f aca="false">IFERROR(INDEX('Vehicle Register'!$J$5:$J$500, MATCH(59, 'Vehicle Register'!$Y$5:$Y$500, 0)), "")</f>
        <v/>
      </c>
      <c r="K63" s="19" t="str">
        <f aca="false">IFERROR(INDEX('Vehicle Register'!$K$5:$K$500, MATCH(59, 'Vehicle Register'!$Y$5:$Y$500, 0)), "")</f>
        <v/>
      </c>
      <c r="L63" s="20" t="str">
        <f aca="false">IFERROR(INDEX('Vehicle Register'!$L$5:$L$500, MATCH(59, 'Vehicle Register'!$Y$5:$Y$500, 0)), "")</f>
        <v/>
      </c>
      <c r="M63" s="20" t="str">
        <f aca="false">IFERROR(INDEX('Vehicle Register'!$M$5:$M$500, MATCH(59, 'Vehicle Register'!$Y$5:$Y$500, 0)), "")</f>
        <v/>
      </c>
      <c r="N63" s="20" t="str">
        <f aca="false">IFERROR(INDEX('Vehicle Register'!$N$5:$N$500, MATCH(59, 'Vehicle Register'!$Y$5:$Y$500, 0)), "")</f>
        <v/>
      </c>
      <c r="O63" s="18" t="str">
        <f aca="false">IFERROR(INDEX('Vehicle Register'!$O$5:$O$500, MATCH(59, 'Vehicle Register'!$Y$5:$Y$500, 0)), "")</f>
        <v/>
      </c>
      <c r="P63" s="18" t="str">
        <f aca="false">IFERROR(INDEX('Vehicle Register'!$P$5:$P$500, MATCH(59, 'Vehicle Register'!$Y$5:$Y$500, 0)), "")</f>
        <v/>
      </c>
      <c r="Q63" s="20" t="str">
        <f aca="false">IFERROR(INDEX('Vehicle Register'!$Q$5:$Q$500, MATCH(59, 'Vehicle Register'!$Y$5:$Y$500, 0)), "")</f>
        <v/>
      </c>
      <c r="R63" s="19" t="str">
        <f aca="false">IFERROR(INDEX('Vehicle Register'!$R$5:$R$500, MATCH(59, 'Vehicle Register'!$Y$5:$Y$500, 0)), "")</f>
        <v/>
      </c>
      <c r="S63" s="20" t="str">
        <f aca="false">IFERROR(INDEX('Vehicle Register'!$S$5:$S$500, MATCH(59, 'Vehicle Register'!$Y$5:$Y$500, 0)), "")</f>
        <v/>
      </c>
      <c r="T63" s="18" t="str">
        <f aca="false">IFERROR(INDEX('Vehicle Register'!$T$5:$T$500, MATCH(59, 'Vehicle Register'!$Y$5:$Y$500, 0)), "")</f>
        <v/>
      </c>
      <c r="U63" s="20" t="str">
        <f aca="false">IFERROR(INDEX('Vehicle Register'!$U$5:$U$500, MATCH(59, 'Vehicle Register'!$Y$5:$Y$500, 0)), "")</f>
        <v/>
      </c>
      <c r="V63" s="21" t="str">
        <f aca="false">IFERROR(INDEX('Vehicle Register'!$V$5:$V$500, MATCH(59, 'Vehicle Register'!$Y$5:$Y$500, 0)), "")</f>
        <v/>
      </c>
      <c r="W63" s="22" t="str">
        <f aca="false">IFERROR(INDEX('Vehicle Register'!$W$5:$W$500, MATCH(59, 'Vehicle Register'!$Y$5:$Y$500, 0)), "")</f>
        <v/>
      </c>
    </row>
    <row r="64" customFormat="false" ht="15" hidden="false" customHeight="false" outlineLevel="0" collapsed="false">
      <c r="A64" s="18" t="str">
        <f aca="false">IFERROR(INDEX('Vehicle Register'!$A$5:$A$500, MATCH(60, 'Vehicle Register'!$Y$5:$Y$500, 0)), "")</f>
        <v/>
      </c>
      <c r="B64" s="18" t="str">
        <f aca="false">IFERROR(INDEX('Vehicle Register'!$B$5:$B$500, MATCH(60, 'Vehicle Register'!$Y$5:$Y$500, 0)), "")</f>
        <v/>
      </c>
      <c r="C64" s="18" t="str">
        <f aca="false">IFERROR(INDEX('Vehicle Register'!$C$5:$C$500, MATCH(60, 'Vehicle Register'!$Y$5:$Y$500, 0)), "")</f>
        <v/>
      </c>
      <c r="D64" s="18" t="str">
        <f aca="false">IFERROR(INDEX('Vehicle Register'!$D$5:$D$500, MATCH(60, 'Vehicle Register'!$Y$5:$Y$500, 0)), "")</f>
        <v/>
      </c>
      <c r="E64" s="18" t="str">
        <f aca="false">IFERROR(INDEX('Vehicle Register'!$E$5:$E$500, MATCH(60, 'Vehicle Register'!$Y$5:$Y$500, 0)), "")</f>
        <v/>
      </c>
      <c r="F64" s="18" t="str">
        <f aca="false">IFERROR(INDEX('Vehicle Register'!$F$5:$F$500, MATCH(60, 'Vehicle Register'!$Y$5:$Y$500, 0)), "")</f>
        <v/>
      </c>
      <c r="G64" s="18" t="str">
        <f aca="false">IFERROR(INDEX('Vehicle Register'!$G$5:$G$500, MATCH(60, 'Vehicle Register'!$Y$5:$Y$500, 0)), "")</f>
        <v/>
      </c>
      <c r="H64" s="18" t="str">
        <f aca="false">IFERROR(INDEX('Vehicle Register'!$H$5:$H$500, MATCH(60, 'Vehicle Register'!$Y$5:$Y$500, 0)), "")</f>
        <v/>
      </c>
      <c r="I64" s="18" t="str">
        <f aca="false">IFERROR(INDEX('Vehicle Register'!$I$5:$I$500, MATCH(60, 'Vehicle Register'!$Y$5:$Y$500, 0)), "")</f>
        <v/>
      </c>
      <c r="J64" s="18" t="str">
        <f aca="false">IFERROR(INDEX('Vehicle Register'!$J$5:$J$500, MATCH(60, 'Vehicle Register'!$Y$5:$Y$500, 0)), "")</f>
        <v/>
      </c>
      <c r="K64" s="19" t="str">
        <f aca="false">IFERROR(INDEX('Vehicle Register'!$K$5:$K$500, MATCH(60, 'Vehicle Register'!$Y$5:$Y$500, 0)), "")</f>
        <v/>
      </c>
      <c r="L64" s="20" t="str">
        <f aca="false">IFERROR(INDEX('Vehicle Register'!$L$5:$L$500, MATCH(60, 'Vehicle Register'!$Y$5:$Y$500, 0)), "")</f>
        <v/>
      </c>
      <c r="M64" s="20" t="str">
        <f aca="false">IFERROR(INDEX('Vehicle Register'!$M$5:$M$500, MATCH(60, 'Vehicle Register'!$Y$5:$Y$500, 0)), "")</f>
        <v/>
      </c>
      <c r="N64" s="20" t="str">
        <f aca="false">IFERROR(INDEX('Vehicle Register'!$N$5:$N$500, MATCH(60, 'Vehicle Register'!$Y$5:$Y$500, 0)), "")</f>
        <v/>
      </c>
      <c r="O64" s="18" t="str">
        <f aca="false">IFERROR(INDEX('Vehicle Register'!$O$5:$O$500, MATCH(60, 'Vehicle Register'!$Y$5:$Y$500, 0)), "")</f>
        <v/>
      </c>
      <c r="P64" s="18" t="str">
        <f aca="false">IFERROR(INDEX('Vehicle Register'!$P$5:$P$500, MATCH(60, 'Vehicle Register'!$Y$5:$Y$500, 0)), "")</f>
        <v/>
      </c>
      <c r="Q64" s="20" t="str">
        <f aca="false">IFERROR(INDEX('Vehicle Register'!$Q$5:$Q$500, MATCH(60, 'Vehicle Register'!$Y$5:$Y$500, 0)), "")</f>
        <v/>
      </c>
      <c r="R64" s="19" t="str">
        <f aca="false">IFERROR(INDEX('Vehicle Register'!$R$5:$R$500, MATCH(60, 'Vehicle Register'!$Y$5:$Y$500, 0)), "")</f>
        <v/>
      </c>
      <c r="S64" s="20" t="str">
        <f aca="false">IFERROR(INDEX('Vehicle Register'!$S$5:$S$500, MATCH(60, 'Vehicle Register'!$Y$5:$Y$500, 0)), "")</f>
        <v/>
      </c>
      <c r="T64" s="18" t="str">
        <f aca="false">IFERROR(INDEX('Vehicle Register'!$T$5:$T$500, MATCH(60, 'Vehicle Register'!$Y$5:$Y$500, 0)), "")</f>
        <v/>
      </c>
      <c r="U64" s="20" t="str">
        <f aca="false">IFERROR(INDEX('Vehicle Register'!$U$5:$U$500, MATCH(60, 'Vehicle Register'!$Y$5:$Y$500, 0)), "")</f>
        <v/>
      </c>
      <c r="V64" s="21" t="str">
        <f aca="false">IFERROR(INDEX('Vehicle Register'!$V$5:$V$500, MATCH(60, 'Vehicle Register'!$Y$5:$Y$500, 0)), "")</f>
        <v/>
      </c>
      <c r="W64" s="22" t="str">
        <f aca="false">IFERROR(INDEX('Vehicle Register'!$W$5:$W$500, MATCH(60, 'Vehicle Register'!$Y$5:$Y$500, 0)), "")</f>
        <v/>
      </c>
    </row>
    <row r="66" customFormat="false" ht="15" hidden="false" customHeight="false" outlineLevel="0" collapsed="false">
      <c r="A66" s="2" t="s">
        <v>213</v>
      </c>
      <c r="B66" s="2"/>
      <c r="C66" s="2"/>
      <c r="D66" s="2"/>
      <c r="E66" s="2"/>
      <c r="F66" s="2"/>
    </row>
  </sheetData>
  <mergeCells count="3">
    <mergeCell ref="A1:W1"/>
    <mergeCell ref="A2:W2"/>
    <mergeCell ref="A66:F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5"/>
  </cols>
  <sheetData>
    <row r="1" customFormat="false" ht="24" hidden="false" customHeight="true" outlineLevel="0" collapsed="false">
      <c r="A1" s="1" t="s">
        <v>216</v>
      </c>
      <c r="B1" s="1"/>
      <c r="C1" s="1"/>
      <c r="D1" s="1"/>
      <c r="E1" s="1"/>
      <c r="F1" s="1"/>
      <c r="G1" s="1"/>
    </row>
    <row r="2" customFormat="false" ht="12.65" hidden="false" customHeight="false" outlineLevel="0" collapsed="false">
      <c r="A2" s="2" t="s">
        <v>217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33.75" hidden="false" customHeight="true" outlineLevel="0" collapsed="false">
      <c r="A4" s="10" t="s">
        <v>218</v>
      </c>
      <c r="B4" s="10" t="s">
        <v>219</v>
      </c>
      <c r="C4" s="10" t="s">
        <v>220</v>
      </c>
      <c r="D4" s="10" t="s">
        <v>221</v>
      </c>
      <c r="E4" s="10" t="s">
        <v>222</v>
      </c>
      <c r="F4" s="10" t="s">
        <v>223</v>
      </c>
      <c r="G4" s="10" t="s">
        <v>224</v>
      </c>
    </row>
    <row r="5" customFormat="false" ht="15" hidden="false" customHeight="false" outlineLevel="0" collapsed="false">
      <c r="A5" s="23" t="n">
        <v>46023</v>
      </c>
      <c r="B5" s="13"/>
      <c r="C5" s="13"/>
      <c r="D5" s="13"/>
      <c r="E5" s="13"/>
      <c r="F5" s="13"/>
      <c r="G5" s="14" t="n">
        <f aca="false">SUM(B5:F5)</f>
        <v>0</v>
      </c>
    </row>
    <row r="6" customFormat="false" ht="15" hidden="false" customHeight="false" outlineLevel="0" collapsed="false">
      <c r="A6" s="23" t="n">
        <v>46054</v>
      </c>
      <c r="B6" s="13"/>
      <c r="C6" s="13"/>
      <c r="D6" s="13"/>
      <c r="E6" s="13"/>
      <c r="F6" s="13"/>
      <c r="G6" s="14" t="n">
        <f aca="false">SUM(B6:F6)</f>
        <v>0</v>
      </c>
    </row>
    <row r="7" customFormat="false" ht="15" hidden="false" customHeight="false" outlineLevel="0" collapsed="false">
      <c r="A7" s="23" t="n">
        <v>46082</v>
      </c>
      <c r="B7" s="13"/>
      <c r="C7" s="13"/>
      <c r="D7" s="13"/>
      <c r="E7" s="13"/>
      <c r="F7" s="13"/>
      <c r="G7" s="14" t="n">
        <f aca="false">SUM(B7:F7)</f>
        <v>0</v>
      </c>
    </row>
    <row r="8" customFormat="false" ht="15" hidden="false" customHeight="false" outlineLevel="0" collapsed="false">
      <c r="A8" s="23" t="n">
        <v>46113</v>
      </c>
      <c r="B8" s="13"/>
      <c r="C8" s="13"/>
      <c r="D8" s="13"/>
      <c r="E8" s="13"/>
      <c r="F8" s="13"/>
      <c r="G8" s="14" t="n">
        <f aca="false">SUM(B8:F8)</f>
        <v>0</v>
      </c>
    </row>
    <row r="9" customFormat="false" ht="15" hidden="false" customHeight="false" outlineLevel="0" collapsed="false">
      <c r="A9" s="23" t="n">
        <v>46143</v>
      </c>
      <c r="B9" s="13"/>
      <c r="C9" s="13"/>
      <c r="D9" s="13"/>
      <c r="E9" s="13"/>
      <c r="F9" s="13"/>
      <c r="G9" s="14" t="n">
        <f aca="false">SUM(B9:F9)</f>
        <v>0</v>
      </c>
    </row>
    <row r="10" customFormat="false" ht="15" hidden="false" customHeight="false" outlineLevel="0" collapsed="false">
      <c r="A10" s="23" t="n">
        <v>46174</v>
      </c>
      <c r="B10" s="13" t="n">
        <v>350</v>
      </c>
      <c r="C10" s="13" t="n">
        <v>900</v>
      </c>
      <c r="D10" s="13" t="n">
        <v>120</v>
      </c>
      <c r="E10" s="13" t="n">
        <v>150</v>
      </c>
      <c r="F10" s="13" t="n">
        <v>60</v>
      </c>
      <c r="G10" s="14" t="n">
        <f aca="false">SUM(B10:F10)</f>
        <v>1580</v>
      </c>
    </row>
    <row r="11" customFormat="false" ht="15" hidden="false" customHeight="false" outlineLevel="0" collapsed="false">
      <c r="A11" s="23" t="n">
        <v>46204</v>
      </c>
      <c r="B11" s="13" t="n">
        <v>350</v>
      </c>
      <c r="C11" s="13" t="n">
        <v>900</v>
      </c>
      <c r="D11" s="13" t="n">
        <v>130</v>
      </c>
      <c r="E11" s="13" t="n">
        <v>180</v>
      </c>
      <c r="F11" s="13" t="n">
        <v>50</v>
      </c>
      <c r="G11" s="14" t="n">
        <f aca="false">SUM(B11:F11)</f>
        <v>1610</v>
      </c>
    </row>
    <row r="12" customFormat="false" ht="15" hidden="false" customHeight="false" outlineLevel="0" collapsed="false">
      <c r="A12" s="23" t="n">
        <v>46235</v>
      </c>
      <c r="B12" s="13" t="n">
        <v>350</v>
      </c>
      <c r="C12" s="13" t="n">
        <v>950</v>
      </c>
      <c r="D12" s="13" t="n">
        <v>125</v>
      </c>
      <c r="E12" s="13" t="n">
        <v>200</v>
      </c>
      <c r="F12" s="13" t="n">
        <v>70</v>
      </c>
      <c r="G12" s="14" t="n">
        <f aca="false">SUM(B12:F12)</f>
        <v>1695</v>
      </c>
    </row>
    <row r="13" customFormat="false" ht="15" hidden="false" customHeight="false" outlineLevel="0" collapsed="false">
      <c r="A13" s="23" t="n">
        <v>46266</v>
      </c>
      <c r="B13" s="13"/>
      <c r="C13" s="13"/>
      <c r="D13" s="13"/>
      <c r="E13" s="13"/>
      <c r="F13" s="13"/>
      <c r="G13" s="14" t="n">
        <f aca="false">SUM(B13:F13)</f>
        <v>0</v>
      </c>
    </row>
    <row r="14" customFormat="false" ht="15" hidden="false" customHeight="false" outlineLevel="0" collapsed="false">
      <c r="A14" s="23" t="n">
        <v>46296</v>
      </c>
      <c r="B14" s="13"/>
      <c r="C14" s="13"/>
      <c r="D14" s="13"/>
      <c r="E14" s="13"/>
      <c r="F14" s="13"/>
      <c r="G14" s="14" t="n">
        <f aca="false">SUM(B14:F14)</f>
        <v>0</v>
      </c>
    </row>
    <row r="15" customFormat="false" ht="15" hidden="false" customHeight="false" outlineLevel="0" collapsed="false">
      <c r="A15" s="23" t="n">
        <v>46327</v>
      </c>
      <c r="B15" s="13"/>
      <c r="C15" s="13"/>
      <c r="D15" s="13"/>
      <c r="E15" s="13"/>
      <c r="F15" s="13"/>
      <c r="G15" s="14" t="n">
        <f aca="false">SUM(B15:F15)</f>
        <v>0</v>
      </c>
    </row>
    <row r="16" customFormat="false" ht="15" hidden="false" customHeight="false" outlineLevel="0" collapsed="false">
      <c r="A16" s="23" t="n">
        <v>46357</v>
      </c>
      <c r="B16" s="13"/>
      <c r="C16" s="13"/>
      <c r="D16" s="13"/>
      <c r="E16" s="13"/>
      <c r="F16" s="13"/>
      <c r="G16" s="14" t="n">
        <f aca="false">SUM(B16:F16)</f>
        <v>0</v>
      </c>
    </row>
    <row r="17" customFormat="false" ht="15" hidden="false" customHeight="false" outlineLevel="0" collapsed="false">
      <c r="A17" s="24" t="s">
        <v>225</v>
      </c>
      <c r="B17" s="25" t="n">
        <f aca="false">SUM(B5:B16)</f>
        <v>1050</v>
      </c>
      <c r="C17" s="25" t="n">
        <f aca="false">SUM(C5:C16)</f>
        <v>2750</v>
      </c>
      <c r="D17" s="25" t="n">
        <f aca="false">SUM(D5:D16)</f>
        <v>375</v>
      </c>
      <c r="E17" s="25" t="n">
        <f aca="false">SUM(E5:E16)</f>
        <v>530</v>
      </c>
      <c r="F17" s="25" t="n">
        <f aca="false">SUM(F5:F16)</f>
        <v>180</v>
      </c>
      <c r="G17" s="25" t="n">
        <f aca="false">SUM(G5:G16)</f>
        <v>4885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1"/>
  </cols>
  <sheetData>
    <row r="1" customFormat="false" ht="24" hidden="false" customHeight="true" outlineLevel="0" collapsed="false">
      <c r="A1" s="1" t="s">
        <v>226</v>
      </c>
      <c r="B1" s="1"/>
      <c r="C1" s="1"/>
      <c r="D1" s="1"/>
      <c r="E1" s="1"/>
      <c r="F1" s="1"/>
      <c r="G1" s="1"/>
      <c r="H1" s="1"/>
      <c r="I1" s="1"/>
    </row>
    <row r="2" customFormat="false" ht="12.65" hidden="false" customHeight="false" outlineLevel="0" collapsed="false">
      <c r="A2" s="2" t="s">
        <v>227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33.75" hidden="false" customHeight="true" outlineLevel="0" collapsed="false">
      <c r="A4" s="10" t="s">
        <v>218</v>
      </c>
      <c r="B4" s="10" t="s">
        <v>228</v>
      </c>
      <c r="C4" s="10" t="s">
        <v>229</v>
      </c>
      <c r="D4" s="10" t="s">
        <v>230</v>
      </c>
      <c r="E4" s="10" t="s">
        <v>231</v>
      </c>
      <c r="F4" s="10" t="s">
        <v>232</v>
      </c>
      <c r="G4" s="10" t="s">
        <v>233</v>
      </c>
      <c r="H4" s="10" t="s">
        <v>234</v>
      </c>
      <c r="I4" s="10" t="s">
        <v>235</v>
      </c>
    </row>
    <row r="5" customFormat="false" ht="15" hidden="false" customHeight="false" outlineLevel="0" collapsed="false">
      <c r="A5" s="22" t="n">
        <f aca="false">'Monthly Expenses'!A5</f>
        <v>46023</v>
      </c>
      <c r="B5" s="20" t="n">
        <f aca="false">SUMIFS('Vehicle Register'!$S$5:$S$500,'Vehicle Register'!$W$5:$W$500,A5)</f>
        <v>0</v>
      </c>
      <c r="C5" s="20" t="n">
        <f aca="false">SUMIFS('Vehicle Register'!$N$5:$N$500,'Vehicle Register'!$W$5:$W$500,A5)</f>
        <v>0</v>
      </c>
      <c r="D5" s="14" t="n">
        <f aca="false">B5-C5</f>
        <v>0</v>
      </c>
      <c r="E5" s="16" t="n">
        <f aca="false">IFERROR(D5/B5,0)</f>
        <v>0</v>
      </c>
      <c r="F5" s="20" t="n">
        <f aca="false">INDEX('Monthly Expenses'!$G$5:$G$16,MATCH(A5,'Monthly Expenses'!$A$5:$A$16,0))</f>
        <v>0</v>
      </c>
      <c r="G5" s="14" t="n">
        <f aca="false">D5-F5</f>
        <v>0</v>
      </c>
      <c r="H5" s="16" t="n">
        <f aca="false">IFERROR(G5/B5,0)</f>
        <v>0</v>
      </c>
      <c r="I5" s="18" t="n">
        <f aca="false">COUNTIF('Vehicle Register'!$W$5:$W$500,A5)</f>
        <v>0</v>
      </c>
    </row>
    <row r="6" customFormat="false" ht="15" hidden="false" customHeight="false" outlineLevel="0" collapsed="false">
      <c r="A6" s="22" t="n">
        <f aca="false">'Monthly Expenses'!A6</f>
        <v>46054</v>
      </c>
      <c r="B6" s="20" t="n">
        <f aca="false">SUMIFS('Vehicle Register'!$S$5:$S$500,'Vehicle Register'!$W$5:$W$500,A6)</f>
        <v>0</v>
      </c>
      <c r="C6" s="20" t="n">
        <f aca="false">SUMIFS('Vehicle Register'!$N$5:$N$500,'Vehicle Register'!$W$5:$W$500,A6)</f>
        <v>0</v>
      </c>
      <c r="D6" s="14" t="n">
        <f aca="false">B6-C6</f>
        <v>0</v>
      </c>
      <c r="E6" s="16" t="n">
        <f aca="false">IFERROR(D6/B6,0)</f>
        <v>0</v>
      </c>
      <c r="F6" s="20" t="n">
        <f aca="false">INDEX('Monthly Expenses'!$G$5:$G$16,MATCH(A6,'Monthly Expenses'!$A$5:$A$16,0))</f>
        <v>0</v>
      </c>
      <c r="G6" s="14" t="n">
        <f aca="false">D6-F6</f>
        <v>0</v>
      </c>
      <c r="H6" s="16" t="n">
        <f aca="false">IFERROR(G6/B6,0)</f>
        <v>0</v>
      </c>
      <c r="I6" s="18" t="n">
        <f aca="false">COUNTIF('Vehicle Register'!$W$5:$W$500,A6)</f>
        <v>0</v>
      </c>
    </row>
    <row r="7" customFormat="false" ht="15" hidden="false" customHeight="false" outlineLevel="0" collapsed="false">
      <c r="A7" s="22" t="n">
        <f aca="false">'Monthly Expenses'!A7</f>
        <v>46082</v>
      </c>
      <c r="B7" s="20" t="n">
        <f aca="false">SUMIFS('Vehicle Register'!$S$5:$S$500,'Vehicle Register'!$W$5:$W$500,A7)</f>
        <v>0</v>
      </c>
      <c r="C7" s="20" t="n">
        <f aca="false">SUMIFS('Vehicle Register'!$N$5:$N$500,'Vehicle Register'!$W$5:$W$500,A7)</f>
        <v>0</v>
      </c>
      <c r="D7" s="14" t="n">
        <f aca="false">B7-C7</f>
        <v>0</v>
      </c>
      <c r="E7" s="16" t="n">
        <f aca="false">IFERROR(D7/B7,0)</f>
        <v>0</v>
      </c>
      <c r="F7" s="20" t="n">
        <f aca="false">INDEX('Monthly Expenses'!$G$5:$G$16,MATCH(A7,'Monthly Expenses'!$A$5:$A$16,0))</f>
        <v>0</v>
      </c>
      <c r="G7" s="14" t="n">
        <f aca="false">D7-F7</f>
        <v>0</v>
      </c>
      <c r="H7" s="16" t="n">
        <f aca="false">IFERROR(G7/B7,0)</f>
        <v>0</v>
      </c>
      <c r="I7" s="18" t="n">
        <f aca="false">COUNTIF('Vehicle Register'!$W$5:$W$500,A7)</f>
        <v>0</v>
      </c>
    </row>
    <row r="8" customFormat="false" ht="15" hidden="false" customHeight="false" outlineLevel="0" collapsed="false">
      <c r="A8" s="22" t="n">
        <f aca="false">'Monthly Expenses'!A8</f>
        <v>46113</v>
      </c>
      <c r="B8" s="20" t="n">
        <f aca="false">SUMIFS('Vehicle Register'!$S$5:$S$500,'Vehicle Register'!$W$5:$W$500,A8)</f>
        <v>0</v>
      </c>
      <c r="C8" s="20" t="n">
        <f aca="false">SUMIFS('Vehicle Register'!$N$5:$N$500,'Vehicle Register'!$W$5:$W$500,A8)</f>
        <v>0</v>
      </c>
      <c r="D8" s="14" t="n">
        <f aca="false">B8-C8</f>
        <v>0</v>
      </c>
      <c r="E8" s="16" t="n">
        <f aca="false">IFERROR(D8/B8,0)</f>
        <v>0</v>
      </c>
      <c r="F8" s="20" t="n">
        <f aca="false">INDEX('Monthly Expenses'!$G$5:$G$16,MATCH(A8,'Monthly Expenses'!$A$5:$A$16,0))</f>
        <v>0</v>
      </c>
      <c r="G8" s="14" t="n">
        <f aca="false">D8-F8</f>
        <v>0</v>
      </c>
      <c r="H8" s="16" t="n">
        <f aca="false">IFERROR(G8/B8,0)</f>
        <v>0</v>
      </c>
      <c r="I8" s="18" t="n">
        <f aca="false">COUNTIF('Vehicle Register'!$W$5:$W$500,A8)</f>
        <v>0</v>
      </c>
    </row>
    <row r="9" customFormat="false" ht="15" hidden="false" customHeight="false" outlineLevel="0" collapsed="false">
      <c r="A9" s="22" t="n">
        <f aca="false">'Monthly Expenses'!A9</f>
        <v>46143</v>
      </c>
      <c r="B9" s="20" t="n">
        <f aca="false">SUMIFS('Vehicle Register'!$S$5:$S$500,'Vehicle Register'!$W$5:$W$500,A9)</f>
        <v>0</v>
      </c>
      <c r="C9" s="20" t="n">
        <f aca="false">SUMIFS('Vehicle Register'!$N$5:$N$500,'Vehicle Register'!$W$5:$W$500,A9)</f>
        <v>0</v>
      </c>
      <c r="D9" s="14" t="n">
        <f aca="false">B9-C9</f>
        <v>0</v>
      </c>
      <c r="E9" s="16" t="n">
        <f aca="false">IFERROR(D9/B9,0)</f>
        <v>0</v>
      </c>
      <c r="F9" s="20" t="n">
        <f aca="false">INDEX('Monthly Expenses'!$G$5:$G$16,MATCH(A9,'Monthly Expenses'!$A$5:$A$16,0))</f>
        <v>0</v>
      </c>
      <c r="G9" s="14" t="n">
        <f aca="false">D9-F9</f>
        <v>0</v>
      </c>
      <c r="H9" s="16" t="n">
        <f aca="false">IFERROR(G9/B9,0)</f>
        <v>0</v>
      </c>
      <c r="I9" s="18" t="n">
        <f aca="false">COUNTIF('Vehicle Register'!$W$5:$W$500,A9)</f>
        <v>0</v>
      </c>
    </row>
    <row r="10" customFormat="false" ht="15" hidden="false" customHeight="false" outlineLevel="0" collapsed="false">
      <c r="A10" s="22" t="n">
        <f aca="false">'Monthly Expenses'!A10</f>
        <v>46174</v>
      </c>
      <c r="B10" s="20" t="n">
        <f aca="false">SUMIFS('Vehicle Register'!$S$5:$S$500,'Vehicle Register'!$W$5:$W$500,A10)</f>
        <v>12400</v>
      </c>
      <c r="C10" s="20" t="n">
        <f aca="false">SUMIFS('Vehicle Register'!$N$5:$N$500,'Vehicle Register'!$W$5:$W$500,A10)</f>
        <v>10250</v>
      </c>
      <c r="D10" s="14" t="n">
        <f aca="false">B10-C10</f>
        <v>2150</v>
      </c>
      <c r="E10" s="16" t="n">
        <f aca="false">IFERROR(D10/B10,0)</f>
        <v>0.173387096774194</v>
      </c>
      <c r="F10" s="20" t="n">
        <f aca="false">INDEX('Monthly Expenses'!$G$5:$G$16,MATCH(A10,'Monthly Expenses'!$A$5:$A$16,0))</f>
        <v>1580</v>
      </c>
      <c r="G10" s="14" t="n">
        <f aca="false">D10-F10</f>
        <v>570</v>
      </c>
      <c r="H10" s="16" t="n">
        <f aca="false">IFERROR(G10/B10,0)</f>
        <v>0.0459677419354839</v>
      </c>
      <c r="I10" s="18" t="n">
        <f aca="false">COUNTIF('Vehicle Register'!$W$5:$W$500,A10)</f>
        <v>7</v>
      </c>
    </row>
    <row r="11" customFormat="false" ht="15" hidden="false" customHeight="false" outlineLevel="0" collapsed="false">
      <c r="A11" s="22" t="n">
        <f aca="false">'Monthly Expenses'!A11</f>
        <v>46204</v>
      </c>
      <c r="B11" s="20" t="n">
        <f aca="false">SUMIFS('Vehicle Register'!$S$5:$S$500,'Vehicle Register'!$W$5:$W$500,A11)</f>
        <v>16150</v>
      </c>
      <c r="C11" s="20" t="n">
        <f aca="false">SUMIFS('Vehicle Register'!$N$5:$N$500,'Vehicle Register'!$W$5:$W$500,A11)</f>
        <v>13680</v>
      </c>
      <c r="D11" s="14" t="n">
        <f aca="false">B11-C11</f>
        <v>2470</v>
      </c>
      <c r="E11" s="16" t="n">
        <f aca="false">IFERROR(D11/B11,0)</f>
        <v>0.152941176470588</v>
      </c>
      <c r="F11" s="20" t="n">
        <f aca="false">INDEX('Monthly Expenses'!$G$5:$G$16,MATCH(A11,'Monthly Expenses'!$A$5:$A$16,0))</f>
        <v>1610</v>
      </c>
      <c r="G11" s="14" t="n">
        <f aca="false">D11-F11</f>
        <v>860</v>
      </c>
      <c r="H11" s="16" t="n">
        <f aca="false">IFERROR(G11/B11,0)</f>
        <v>0.0532507739938081</v>
      </c>
      <c r="I11" s="18" t="n">
        <f aca="false">COUNTIF('Vehicle Register'!$W$5:$W$500,A11)</f>
        <v>9</v>
      </c>
    </row>
    <row r="12" customFormat="false" ht="15" hidden="false" customHeight="false" outlineLevel="0" collapsed="false">
      <c r="A12" s="22" t="n">
        <f aca="false">'Monthly Expenses'!A12</f>
        <v>46235</v>
      </c>
      <c r="B12" s="20" t="n">
        <f aca="false">SUMIFS('Vehicle Register'!$S$5:$S$500,'Vehicle Register'!$W$5:$W$500,A12)</f>
        <v>12850</v>
      </c>
      <c r="C12" s="20" t="n">
        <f aca="false">SUMIFS('Vehicle Register'!$N$5:$N$500,'Vehicle Register'!$W$5:$W$500,A12)</f>
        <v>10750</v>
      </c>
      <c r="D12" s="14" t="n">
        <f aca="false">B12-C12</f>
        <v>2100</v>
      </c>
      <c r="E12" s="16" t="n">
        <f aca="false">IFERROR(D12/B12,0)</f>
        <v>0.163424124513619</v>
      </c>
      <c r="F12" s="20" t="n">
        <f aca="false">INDEX('Monthly Expenses'!$G$5:$G$16,MATCH(A12,'Monthly Expenses'!$A$5:$A$16,0))</f>
        <v>1695</v>
      </c>
      <c r="G12" s="14" t="n">
        <f aca="false">D12-F12</f>
        <v>405</v>
      </c>
      <c r="H12" s="16" t="n">
        <f aca="false">IFERROR(G12/B12,0)</f>
        <v>0.0315175097276265</v>
      </c>
      <c r="I12" s="18" t="n">
        <f aca="false">COUNTIF('Vehicle Register'!$W$5:$W$500,A12)</f>
        <v>5</v>
      </c>
    </row>
    <row r="13" customFormat="false" ht="15" hidden="false" customHeight="false" outlineLevel="0" collapsed="false">
      <c r="A13" s="22" t="n">
        <f aca="false">'Monthly Expenses'!A13</f>
        <v>46266</v>
      </c>
      <c r="B13" s="20" t="n">
        <f aca="false">SUMIFS('Vehicle Register'!$S$5:$S$500,'Vehicle Register'!$W$5:$W$500,A13)</f>
        <v>0</v>
      </c>
      <c r="C13" s="20" t="n">
        <f aca="false">SUMIFS('Vehicle Register'!$N$5:$N$500,'Vehicle Register'!$W$5:$W$500,A13)</f>
        <v>0</v>
      </c>
      <c r="D13" s="14" t="n">
        <f aca="false">B13-C13</f>
        <v>0</v>
      </c>
      <c r="E13" s="16" t="n">
        <f aca="false">IFERROR(D13/B13,0)</f>
        <v>0</v>
      </c>
      <c r="F13" s="20" t="n">
        <f aca="false">INDEX('Monthly Expenses'!$G$5:$G$16,MATCH(A13,'Monthly Expenses'!$A$5:$A$16,0))</f>
        <v>0</v>
      </c>
      <c r="G13" s="14" t="n">
        <f aca="false">D13-F13</f>
        <v>0</v>
      </c>
      <c r="H13" s="16" t="n">
        <f aca="false">IFERROR(G13/B13,0)</f>
        <v>0</v>
      </c>
      <c r="I13" s="18" t="n">
        <f aca="false">COUNTIF('Vehicle Register'!$W$5:$W$500,A13)</f>
        <v>0</v>
      </c>
    </row>
    <row r="14" customFormat="false" ht="15" hidden="false" customHeight="false" outlineLevel="0" collapsed="false">
      <c r="A14" s="22" t="n">
        <f aca="false">'Monthly Expenses'!A14</f>
        <v>46296</v>
      </c>
      <c r="B14" s="20" t="n">
        <f aca="false">SUMIFS('Vehicle Register'!$S$5:$S$500,'Vehicle Register'!$W$5:$W$500,A14)</f>
        <v>0</v>
      </c>
      <c r="C14" s="20" t="n">
        <f aca="false">SUMIFS('Vehicle Register'!$N$5:$N$500,'Vehicle Register'!$W$5:$W$500,A14)</f>
        <v>0</v>
      </c>
      <c r="D14" s="14" t="n">
        <f aca="false">B14-C14</f>
        <v>0</v>
      </c>
      <c r="E14" s="16" t="n">
        <f aca="false">IFERROR(D14/B14,0)</f>
        <v>0</v>
      </c>
      <c r="F14" s="20" t="n">
        <f aca="false">INDEX('Monthly Expenses'!$G$5:$G$16,MATCH(A14,'Monthly Expenses'!$A$5:$A$16,0))</f>
        <v>0</v>
      </c>
      <c r="G14" s="14" t="n">
        <f aca="false">D14-F14</f>
        <v>0</v>
      </c>
      <c r="H14" s="16" t="n">
        <f aca="false">IFERROR(G14/B14,0)</f>
        <v>0</v>
      </c>
      <c r="I14" s="18" t="n">
        <f aca="false">COUNTIF('Vehicle Register'!$W$5:$W$500,A14)</f>
        <v>0</v>
      </c>
    </row>
    <row r="15" customFormat="false" ht="15" hidden="false" customHeight="false" outlineLevel="0" collapsed="false">
      <c r="A15" s="22" t="n">
        <f aca="false">'Monthly Expenses'!A15</f>
        <v>46327</v>
      </c>
      <c r="B15" s="20" t="n">
        <f aca="false">SUMIFS('Vehicle Register'!$S$5:$S$500,'Vehicle Register'!$W$5:$W$500,A15)</f>
        <v>0</v>
      </c>
      <c r="C15" s="20" t="n">
        <f aca="false">SUMIFS('Vehicle Register'!$N$5:$N$500,'Vehicle Register'!$W$5:$W$500,A15)</f>
        <v>0</v>
      </c>
      <c r="D15" s="14" t="n">
        <f aca="false">B15-C15</f>
        <v>0</v>
      </c>
      <c r="E15" s="16" t="n">
        <f aca="false">IFERROR(D15/B15,0)</f>
        <v>0</v>
      </c>
      <c r="F15" s="20" t="n">
        <f aca="false">INDEX('Monthly Expenses'!$G$5:$G$16,MATCH(A15,'Monthly Expenses'!$A$5:$A$16,0))</f>
        <v>0</v>
      </c>
      <c r="G15" s="14" t="n">
        <f aca="false">D15-F15</f>
        <v>0</v>
      </c>
      <c r="H15" s="16" t="n">
        <f aca="false">IFERROR(G15/B15,0)</f>
        <v>0</v>
      </c>
      <c r="I15" s="18" t="n">
        <f aca="false">COUNTIF('Vehicle Register'!$W$5:$W$500,A15)</f>
        <v>0</v>
      </c>
    </row>
    <row r="16" customFormat="false" ht="15" hidden="false" customHeight="false" outlineLevel="0" collapsed="false">
      <c r="A16" s="22" t="n">
        <f aca="false">'Monthly Expenses'!A16</f>
        <v>46357</v>
      </c>
      <c r="B16" s="20" t="n">
        <f aca="false">SUMIFS('Vehicle Register'!$S$5:$S$500,'Vehicle Register'!$W$5:$W$500,A16)</f>
        <v>0</v>
      </c>
      <c r="C16" s="20" t="n">
        <f aca="false">SUMIFS('Vehicle Register'!$N$5:$N$500,'Vehicle Register'!$W$5:$W$500,A16)</f>
        <v>0</v>
      </c>
      <c r="D16" s="14" t="n">
        <f aca="false">B16-C16</f>
        <v>0</v>
      </c>
      <c r="E16" s="16" t="n">
        <f aca="false">IFERROR(D16/B16,0)</f>
        <v>0</v>
      </c>
      <c r="F16" s="20" t="n">
        <f aca="false">INDEX('Monthly Expenses'!$G$5:$G$16,MATCH(A16,'Monthly Expenses'!$A$5:$A$16,0))</f>
        <v>0</v>
      </c>
      <c r="G16" s="14" t="n">
        <f aca="false">D16-F16</f>
        <v>0</v>
      </c>
      <c r="H16" s="16" t="n">
        <f aca="false">IFERROR(G16/B16,0)</f>
        <v>0</v>
      </c>
      <c r="I16" s="18" t="n">
        <f aca="false">COUNTIF('Vehicle Register'!$W$5:$W$500,A16)</f>
        <v>0</v>
      </c>
    </row>
    <row r="17" customFormat="false" ht="15" hidden="false" customHeight="false" outlineLevel="0" collapsed="false">
      <c r="A17" s="24" t="s">
        <v>236</v>
      </c>
      <c r="B17" s="25" t="n">
        <f aca="false">SUM(B5:B16)</f>
        <v>41400</v>
      </c>
      <c r="C17" s="25" t="n">
        <f aca="false">SUM(C5:C16)</f>
        <v>34680</v>
      </c>
      <c r="D17" s="25" t="n">
        <f aca="false">SUM(D5:D16)</f>
        <v>6720</v>
      </c>
      <c r="E17" s="26" t="n">
        <f aca="false">IFERROR(D17/B17,0)</f>
        <v>0.16231884057971</v>
      </c>
      <c r="F17" s="25" t="n">
        <f aca="false">SUM(F5:F16)</f>
        <v>4885</v>
      </c>
      <c r="G17" s="25" t="n">
        <f aca="false">SUM(G5:G16)</f>
        <v>1835</v>
      </c>
      <c r="H17" s="26" t="n">
        <f aca="false">IFERROR(G17/B17,0)</f>
        <v>0.0443236714975845</v>
      </c>
      <c r="I17" s="24" t="n">
        <f aca="false">SUM(I5:I16)</f>
        <v>21</v>
      </c>
    </row>
    <row r="19" customFormat="false" ht="12.65" hidden="false" customHeight="false" outlineLevel="0" collapsed="false">
      <c r="A19" s="2" t="s">
        <v>237</v>
      </c>
      <c r="B19" s="2"/>
      <c r="C19" s="2"/>
      <c r="D19" s="2"/>
      <c r="E19" s="2"/>
      <c r="F19" s="2"/>
      <c r="G19" s="2"/>
      <c r="H19" s="2"/>
      <c r="I19" s="2"/>
    </row>
  </sheetData>
  <mergeCells count="3">
    <mergeCell ref="A1:I1"/>
    <mergeCell ref="A2:I2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0"/>
  </cols>
  <sheetData>
    <row r="1" customFormat="false" ht="24" hidden="false" customHeight="true" outlineLevel="0" collapsed="false">
      <c r="A1" s="1" t="s">
        <v>238</v>
      </c>
      <c r="B1" s="1"/>
      <c r="C1" s="1"/>
      <c r="D1" s="1"/>
    </row>
    <row r="2" customFormat="false" ht="12.65" hidden="false" customHeight="false" outlineLevel="0" collapsed="false">
      <c r="A2" s="2" t="s">
        <v>239</v>
      </c>
      <c r="B2" s="2"/>
      <c r="C2" s="2"/>
      <c r="D2" s="2"/>
    </row>
    <row r="3" customFormat="false" ht="6" hidden="false" customHeight="true" outlineLevel="0" collapsed="false"/>
    <row r="5" customFormat="false" ht="30" hidden="false" customHeight="true" outlineLevel="0" collapsed="false">
      <c r="A5" s="27" t="s">
        <v>240</v>
      </c>
      <c r="B5" s="27"/>
      <c r="C5" s="27" t="s">
        <v>241</v>
      </c>
      <c r="D5" s="27"/>
    </row>
    <row r="6" customFormat="false" ht="24.45" hidden="false" customHeight="false" outlineLevel="0" collapsed="false">
      <c r="A6" s="28" t="n">
        <f aca="false">COUNTIF('Vehicle Register'!$B$5:$B$500,"In Stock")</f>
        <v>8</v>
      </c>
      <c r="B6" s="28"/>
      <c r="C6" s="28" t="n">
        <f aca="false">COUNTIF('Vehicle Register'!$B$5:$B$500,"Reserved")</f>
        <v>1</v>
      </c>
      <c r="D6" s="28"/>
    </row>
    <row r="9" customFormat="false" ht="30" hidden="false" customHeight="true" outlineLevel="0" collapsed="false">
      <c r="A9" s="27" t="s">
        <v>242</v>
      </c>
      <c r="B9" s="27"/>
      <c r="C9" s="27" t="s">
        <v>243</v>
      </c>
      <c r="D9" s="27"/>
    </row>
    <row r="10" customFormat="false" ht="24.45" hidden="false" customHeight="false" outlineLevel="0" collapsed="false">
      <c r="A10" s="28" t="n">
        <f aca="false">COUNTIF('Vehicle Register'!$B$5:$B$500,"Sold")</f>
        <v>21</v>
      </c>
      <c r="B10" s="28"/>
      <c r="C10" s="29" t="n">
        <f aca="false">SUMIFS('Vehicle Register'!$N$5:$N$500,'Vehicle Register'!$B$5:$B$500,"In Stock")</f>
        <v>12400</v>
      </c>
      <c r="D10" s="29"/>
    </row>
    <row r="13" customFormat="false" ht="30" hidden="false" customHeight="true" outlineLevel="0" collapsed="false">
      <c r="A13" s="27" t="s">
        <v>244</v>
      </c>
      <c r="B13" s="27"/>
      <c r="C13" s="27" t="s">
        <v>245</v>
      </c>
      <c r="D13" s="27"/>
    </row>
    <row r="14" customFormat="false" ht="24.45" hidden="false" customHeight="false" outlineLevel="0" collapsed="false">
      <c r="A14" s="29" t="n">
        <f aca="false">SUMIFS('Vehicle Register'!$Q$5:$Q$500,'Vehicle Register'!$B$5:$B$500,"In Stock")</f>
        <v>14850</v>
      </c>
      <c r="B14" s="29"/>
      <c r="C14" s="29" t="n">
        <f aca="false">SUM('Vehicle Register'!$U$5:$U$500)</f>
        <v>6720</v>
      </c>
      <c r="D14" s="29"/>
    </row>
    <row r="17" customFormat="false" ht="30" hidden="false" customHeight="true" outlineLevel="0" collapsed="false">
      <c r="A17" s="27" t="s">
        <v>246</v>
      </c>
      <c r="B17" s="27"/>
      <c r="C17" s="27" t="s">
        <v>247</v>
      </c>
      <c r="D17" s="27"/>
    </row>
    <row r="18" customFormat="false" ht="24.45" hidden="false" customHeight="false" outlineLevel="0" collapsed="false">
      <c r="A18" s="30" t="n">
        <f aca="false">IFERROR(AVERAGEIFS('Vehicle Register'!$T$5:$T$500,'Vehicle Register'!$B$5:$B$500,"In Stock"),0)</f>
        <v>17.25</v>
      </c>
      <c r="B18" s="30"/>
      <c r="C18" s="28" t="n">
        <f aca="false">COUNTIF('Vehicle Register'!$O$5:$O$500,"Missing Documents")</f>
        <v>2</v>
      </c>
      <c r="D18" s="28"/>
    </row>
    <row r="21" customFormat="false" ht="30" hidden="false" customHeight="true" outlineLevel="0" collapsed="false">
      <c r="A21" s="27" t="s">
        <v>248</v>
      </c>
      <c r="B21" s="27"/>
    </row>
    <row r="22" customFormat="false" ht="24.45" hidden="false" customHeight="false" outlineLevel="0" collapsed="false">
      <c r="A22" s="28" t="n">
        <f aca="false">COUNTIF('Vehicle Register'!$O$5:$O$500,"Pending Transfer")</f>
        <v>2</v>
      </c>
      <c r="B22" s="28"/>
    </row>
    <row r="25" customFormat="false" ht="12.65" hidden="false" customHeight="false" outlineLevel="0" collapsed="false">
      <c r="A25" s="2" t="s">
        <v>249</v>
      </c>
      <c r="B25" s="2"/>
      <c r="C25" s="2"/>
      <c r="D25" s="2"/>
    </row>
  </sheetData>
  <mergeCells count="21">
    <mergeCell ref="A1:D1"/>
    <mergeCell ref="A2:D2"/>
    <mergeCell ref="A5:B5"/>
    <mergeCell ref="C5:D5"/>
    <mergeCell ref="A6:B6"/>
    <mergeCell ref="C6:D6"/>
    <mergeCell ref="A9:B9"/>
    <mergeCell ref="C9:D9"/>
    <mergeCell ref="A10:B10"/>
    <mergeCell ref="C10:D10"/>
    <mergeCell ref="A13:B13"/>
    <mergeCell ref="C13:D13"/>
    <mergeCell ref="A14:B14"/>
    <mergeCell ref="C14:D14"/>
    <mergeCell ref="A17:B17"/>
    <mergeCell ref="C17:D17"/>
    <mergeCell ref="A18:B18"/>
    <mergeCell ref="C18:D18"/>
    <mergeCell ref="A21:B21"/>
    <mergeCell ref="A22:B22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2026-08-28T22:13:50Z</dcterms:created>
  <dc:creator>openpyxl</dc:creator>
  <dc:description/>
  <dc:language>en-US</dc:language>
  <cp:lastModifiedBy/>
  <dcterms:modified xsi:type="dcterms:W3CDTF">2026-08-28T22:13:50Z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